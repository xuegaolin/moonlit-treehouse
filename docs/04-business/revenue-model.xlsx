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核心假设" sheetId="1" state="visible" r:id="rId1"/>
    <sheet xmlns:r="http://schemas.openxmlformats.org/officeDocument/2006/relationships" name="02-模块收入模型" sheetId="2" state="visible" r:id="rId2"/>
    <sheet xmlns:r="http://schemas.openxmlformats.org/officeDocument/2006/relationships" name="03-交叉转化敏感度" sheetId="3" state="visible" r:id="rId3"/>
    <sheet xmlns:r="http://schemas.openxmlformats.org/officeDocument/2006/relationships" name="04-会员模型" sheetId="4" state="visible" r:id="rId4"/>
    <sheet xmlns:r="http://schemas.openxmlformats.org/officeDocument/2006/relationships" name="05-12个月预测" sheetId="5" state="visible" r:id="rId5"/>
    <sheet xmlns:r="http://schemas.openxmlformats.org/officeDocument/2006/relationships" name="06-汇总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"/>
    <numFmt numFmtId="167" formatCode="0.0"/>
    <numFmt numFmtId="168" formatCode="0.000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808080"/>
      <sz val="9"/>
    </font>
    <font>
      <name val="微软雅黑"/>
      <b val="1"/>
      <color rgb="002E2A4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E2A4F"/>
      </patternFill>
    </fill>
    <fill>
      <patternFill patternType="solid">
        <fgColor rgb="00D9D2F0"/>
      </patternFill>
    </fill>
    <fill>
      <patternFill patternType="solid">
        <fgColor rgb="00FFF3CD"/>
      </patternFill>
    </fill>
    <fill>
      <patternFill patternType="solid">
        <fgColor rgb="00E8E4F5"/>
      </patternFill>
    </fill>
    <fill>
      <patternFill patternType="solid">
        <fgColor rgb="00C9BF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0" fontId="4" fillId="4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pivotButton="0" quotePrefix="0" xfId="0"/>
    <xf numFmtId="3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pivotButton="0" quotePrefix="0" xfId="0"/>
    <xf numFmtId="3" fontId="5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2A4F"/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34" customWidth="1" min="4" max="4"/>
    <col width="10" customWidth="1" min="5" max="5"/>
    <col width="10" customWidth="1" min="6" max="6"/>
  </cols>
  <sheetData>
    <row r="1" ht="26" customHeight="1">
      <c r="A1" s="1" t="inlineStr">
        <is>
          <t>今夜树屋 · 收入模型 — 核心假设(黄色单元格均可修改, 全簿联动)</t>
        </is>
      </c>
    </row>
    <row r="2">
      <c r="A2" s="2" t="inlineStr">
        <is>
          <t>所有定价来自 PRD v1.0; 渗透率/付费率为运营假设, 可随真实数据回测校准。</t>
        </is>
      </c>
    </row>
    <row r="3">
      <c r="A3" s="3" t="inlineStr">
        <is>
          <t>一、全局参数</t>
        </is>
      </c>
    </row>
    <row r="4">
      <c r="A4" s="4" t="inlineStr">
        <is>
          <t>每月天数(天)</t>
        </is>
      </c>
      <c r="B4" s="5" t="n">
        <v>30</v>
      </c>
      <c r="C4" s="2" t="inlineStr">
        <is>
          <t>按自然月计</t>
        </is>
      </c>
    </row>
    <row r="5">
      <c r="A5" s="4" t="inlineStr">
        <is>
          <t>基准 DAU(模型计算档)</t>
        </is>
      </c>
      <c r="B5" s="5" t="n">
        <v>5000</v>
      </c>
      <c r="C5" s="2" t="inlineStr">
        <is>
          <t>PRD 3 个月目标 DAU 5000</t>
        </is>
      </c>
    </row>
    <row r="6">
      <c r="A6" s="4" t="inlineStr">
        <is>
          <t>目标付费率(对标 PRD)</t>
        </is>
      </c>
      <c r="B6" s="6" t="n">
        <v>0.03</v>
      </c>
      <c r="C6" s="2" t="inlineStr">
        <is>
          <t>PRD 成功指标 ≥3%</t>
        </is>
      </c>
    </row>
    <row r="7">
      <c r="A7" s="4" t="inlineStr">
        <is>
          <t>目标 ARPU(元/月, 对标 PRD)</t>
        </is>
      </c>
      <c r="B7" s="5" t="n">
        <v>8</v>
      </c>
      <c r="C7" s="2" t="inlineStr">
        <is>
          <t>PRD 成功指标 ≥8 元</t>
        </is>
      </c>
    </row>
    <row r="8">
      <c r="A8" s="4" t="inlineStr">
        <is>
          <t>会员月卡价格(元)</t>
        </is>
      </c>
      <c r="B8" s="5" t="n">
        <v>19</v>
      </c>
      <c r="C8" s="2" t="inlineStr">
        <is>
          <t>PRD 定价 19 元/月</t>
        </is>
      </c>
    </row>
    <row r="9">
      <c r="A9" s="4" t="inlineStr">
        <is>
          <t>会员年卡价格(元)</t>
        </is>
      </c>
      <c r="B9" s="5" t="n">
        <v>128</v>
      </c>
      <c r="C9" s="2" t="inlineStr">
        <is>
          <t>PRD 定价 128 元/年</t>
        </is>
      </c>
    </row>
    <row r="10">
      <c r="A10" s="4" t="inlineStr">
        <is>
          <t>会员月均摊销 ARPU(元)</t>
        </is>
      </c>
      <c r="B10" s="7">
        <f>B8*B11+B9/12*(1-B11)</f>
        <v/>
      </c>
      <c r="C10" s="2" t="inlineStr">
        <is>
          <t>月卡按 19 计, 年卡按 128/12 摊销</t>
        </is>
      </c>
    </row>
    <row r="11">
      <c r="A11" s="4" t="inlineStr">
        <is>
          <t>会员中月卡购买占比</t>
        </is>
      </c>
      <c r="B11" s="6" t="n">
        <v>0.7</v>
      </c>
      <c r="C11" s="2" t="inlineStr">
        <is>
          <t>假设 70% 买月卡、30% 买年卡</t>
        </is>
      </c>
    </row>
    <row r="13">
      <c r="A13" s="3" t="inlineStr">
        <is>
          <t>二、DAU 分档假设</t>
        </is>
      </c>
    </row>
    <row r="14">
      <c r="A14" s="8" t="inlineStr">
        <is>
          <t>档位</t>
        </is>
      </c>
      <c r="B14" s="8" t="inlineStr">
        <is>
          <t>DAU</t>
        </is>
      </c>
      <c r="C14" s="8" t="inlineStr">
        <is>
          <t>说明</t>
        </is>
      </c>
    </row>
    <row r="15">
      <c r="A15" s="9" t="inlineStr">
        <is>
          <t>保守</t>
        </is>
      </c>
      <c r="B15" s="10" t="n">
        <v>1000</v>
      </c>
      <c r="C15" s="2" t="inlineStr">
        <is>
          <t>冷启动后低位运行</t>
        </is>
      </c>
    </row>
    <row r="16">
      <c r="A16" s="9" t="inlineStr">
        <is>
          <t>低速</t>
        </is>
      </c>
      <c r="B16" s="10" t="n">
        <v>3000</v>
      </c>
      <c r="C16" s="2" t="inlineStr">
        <is>
          <t>未达成 PRD 目标</t>
        </is>
      </c>
    </row>
    <row r="17">
      <c r="A17" s="9" t="inlineStr">
        <is>
          <t>目标</t>
        </is>
      </c>
      <c r="B17" s="10" t="n">
        <v>5000</v>
      </c>
      <c r="C17" s="2" t="inlineStr">
        <is>
          <t>PRD 3 个月目标</t>
        </is>
      </c>
    </row>
    <row r="18">
      <c r="A18" s="9" t="inlineStr">
        <is>
          <t>乐观</t>
        </is>
      </c>
      <c r="B18" s="10" t="n">
        <v>10000</v>
      </c>
      <c r="C18" s="2" t="inlineStr">
        <is>
          <t>裂变超预期</t>
        </is>
      </c>
    </row>
    <row r="20">
      <c r="A20" s="3" t="inlineStr">
        <is>
          <t>三、模块渗透率假设(DAU 中每日进入该模块的比例)</t>
        </is>
      </c>
    </row>
    <row r="21">
      <c r="A21" s="8" t="inlineStr">
        <is>
          <t>模块</t>
        </is>
      </c>
      <c r="B21" s="8" t="inlineStr">
        <is>
          <t>名称</t>
        </is>
      </c>
      <c r="C21" s="8" t="inlineStr">
        <is>
          <t>日渗透率</t>
        </is>
      </c>
      <c r="D21" s="8" t="inlineStr">
        <is>
          <t>依据</t>
        </is>
      </c>
    </row>
    <row r="22">
      <c r="A22" s="11" t="inlineStr">
        <is>
          <t>A</t>
        </is>
      </c>
      <c r="B22" s="4" t="inlineStr">
        <is>
          <t>深夜信箱 📮</t>
        </is>
      </c>
      <c r="C22" s="12" t="n">
        <v>0.25</v>
      </c>
      <c r="D22" s="2" t="inlineStr">
        <is>
          <t>写信+回信, 情绪浓度高但频次中等</t>
        </is>
      </c>
    </row>
    <row r="23">
      <c r="A23" s="11" t="inlineStr">
        <is>
          <t>B</t>
        </is>
      </c>
      <c r="B23" s="4" t="inlineStr">
        <is>
          <t>摆烂许可证 🪑</t>
        </is>
      </c>
      <c r="C23" s="12" t="n">
        <v>0.4</v>
      </c>
      <c r="D23" s="2" t="inlineStr">
        <is>
          <t>一键领取+分享, 门槛最低的流量入口</t>
        </is>
      </c>
    </row>
    <row r="24">
      <c r="A24" s="11" t="inlineStr">
        <is>
          <t>C</t>
        </is>
      </c>
      <c r="B24" s="4" t="inlineStr">
        <is>
          <t>塔罗盲盒 🔮</t>
        </is>
      </c>
      <c r="C24" s="12" t="n">
        <v>0.2</v>
      </c>
      <c r="D24" s="2" t="inlineStr">
        <is>
          <t>每日一张免费抽牌, 强仪式感</t>
        </is>
      </c>
    </row>
    <row r="25">
      <c r="A25" s="11" t="inlineStr">
        <is>
          <t>D</t>
        </is>
      </c>
      <c r="B25" s="4" t="inlineStr">
        <is>
          <t>许愿池 🕯</t>
        </is>
      </c>
      <c r="C25" s="12" t="n">
        <v>0.3</v>
      </c>
      <c r="D25" s="2" t="inlineStr">
        <is>
          <t>敲木鱼+签到, 高频轻互动</t>
        </is>
      </c>
    </row>
    <row r="26">
      <c r="A26" s="11" t="inlineStr">
        <is>
          <t>E</t>
        </is>
      </c>
      <c r="B26" s="4" t="inlineStr">
        <is>
          <t>漂流墙 💌</t>
        </is>
      </c>
      <c r="C26" s="12" t="n">
        <v>0.35</v>
      </c>
      <c r="D26" s="2" t="inlineStr">
        <is>
          <t>刷墙无成本, 浏览型流量</t>
        </is>
      </c>
    </row>
    <row r="28">
      <c r="A28" s="3" t="inlineStr">
        <is>
          <t>四、会员与成本假设</t>
        </is>
      </c>
    </row>
    <row r="29">
      <c r="A29" s="4" t="inlineStr">
        <is>
          <t>会员转化率目标(PRD ≥1.5%)</t>
        </is>
      </c>
      <c r="B29" s="12" t="n">
        <v>0.015</v>
      </c>
      <c r="C29" s="2" t="inlineStr">
        <is>
          <t>付费会员 / DAU</t>
        </is>
      </c>
    </row>
    <row r="30">
      <c r="A30" s="4" t="inlineStr">
        <is>
          <t>LLM 单次调用成本(元)</t>
        </is>
      </c>
      <c r="B30" s="13" t="n">
        <v>0.02</v>
      </c>
      <c r="C30" s="2" t="inlineStr">
        <is>
          <t>DeepSeek 级 API 均价, 含回信/解读/祝福信</t>
        </is>
      </c>
    </row>
    <row r="31">
      <c r="A31" s="4" t="inlineStr">
        <is>
          <t>日人均 AI 互动率</t>
        </is>
      </c>
      <c r="B31" s="12" t="n">
        <v>0.4</v>
      </c>
      <c r="C31" s="2" t="inlineStr">
        <is>
          <t>DAU 中触发 AI 功能的用户占比</t>
        </is>
      </c>
    </row>
    <row r="32">
      <c r="A32" s="4" t="inlineStr">
        <is>
          <t>日人均 AI 调用次数(次)</t>
        </is>
      </c>
      <c r="B32" s="14" t="n">
        <v>1.5</v>
      </c>
      <c r="C32" s="2" t="inlineStr">
        <is>
          <t>触发用户平均调用次数</t>
        </is>
      </c>
    </row>
    <row r="33">
      <c r="A33" s="4" t="inlineStr">
        <is>
          <t>内容审核单价(元/条)</t>
        </is>
      </c>
      <c r="B33" s="15" t="n">
        <v>0.0015</v>
      </c>
      <c r="C33" s="2" t="inlineStr">
        <is>
          <t>微信内容安全 API 量级</t>
        </is>
      </c>
    </row>
    <row r="34">
      <c r="A34" s="4" t="inlineStr">
        <is>
          <t>日人均 UGC 条数(条)</t>
        </is>
      </c>
      <c r="B34" s="16" t="n">
        <v>0.16</v>
      </c>
      <c r="C34" s="2" t="inlineStr">
        <is>
          <t>约 8% 用户日均发 2 条</t>
        </is>
      </c>
    </row>
    <row r="35">
      <c r="A35" s="4" t="inlineStr">
        <is>
          <t>微信支付通道费率</t>
        </is>
      </c>
      <c r="B35" s="12" t="n">
        <v>0.006</v>
      </c>
      <c r="C35" s="2" t="inlineStr">
        <is>
          <t>微信支付标准费率 0.6%</t>
        </is>
      </c>
    </row>
    <row r="37">
      <c r="A37" s="3" t="inlineStr">
        <is>
          <t>五、服务器成本分档(元/月)</t>
        </is>
      </c>
    </row>
    <row r="38">
      <c r="A38" s="8" t="inlineStr">
        <is>
          <t>DAU 上限</t>
        </is>
      </c>
      <c r="B38" s="8" t="inlineStr">
        <is>
          <t>月成本(元)</t>
        </is>
      </c>
    </row>
    <row r="39">
      <c r="A39" s="10" t="n">
        <v>1000</v>
      </c>
      <c r="B39" s="10" t="n">
        <v>300</v>
      </c>
    </row>
    <row r="40">
      <c r="A40" s="10" t="n">
        <v>3000</v>
      </c>
      <c r="B40" s="10" t="n">
        <v>500</v>
      </c>
    </row>
    <row r="41">
      <c r="A41" s="10" t="n">
        <v>5000</v>
      </c>
      <c r="B41" s="10" t="n">
        <v>800</v>
      </c>
    </row>
    <row r="42">
      <c r="A42" s="10" t="n">
        <v>10000</v>
      </c>
      <c r="B42" s="10" t="n">
        <v>1500</v>
      </c>
    </row>
    <row r="43">
      <c r="A43" s="10" t="n">
        <v>999999</v>
      </c>
      <c r="B43" s="10" t="n">
        <v>3000</v>
      </c>
    </row>
    <row r="44">
      <c r="A44" s="2" t="inlineStr">
        <is>
          <t>图例: 淡黄色 = 可调假设; 其余为公式或说明。</t>
        </is>
      </c>
    </row>
  </sheetData>
  <mergeCells count="8">
    <mergeCell ref="A2:F2"/>
    <mergeCell ref="A28:F28"/>
    <mergeCell ref="A13:F13"/>
    <mergeCell ref="A44:F44"/>
    <mergeCell ref="A1:F1"/>
    <mergeCell ref="A37:F37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4B8A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0" customWidth="1" min="3" max="3"/>
    <col width="13" customWidth="1" min="4" max="4"/>
    <col width="12" customWidth="1" min="5" max="5"/>
    <col width="12" customWidth="1" min="6" max="6"/>
    <col width="13" customWidth="1" min="7" max="7"/>
    <col width="24" customWidth="1" min="8" max="8"/>
  </cols>
  <sheetData>
    <row r="1" ht="26" customHeight="1">
      <c r="A1" s="1" t="inlineStr">
        <is>
          <t>02 · 模块收入模型 — 单点付费(按基准 DAU 计算)</t>
        </is>
      </c>
    </row>
    <row r="2">
      <c r="A2" s="2" t="inlineStr">
        <is>
          <t>日付费人数 = 基准DAU × 模块渗透率 × 该付费点日付费率; 月流水 = 单价 × 日付费人数 × 每月天数。黄色为可调假设。</t>
        </is>
      </c>
    </row>
    <row r="3" ht="28" customHeight="1">
      <c r="A3" s="8" t="inlineStr">
        <is>
          <t>模块</t>
        </is>
      </c>
      <c r="B3" s="8" t="inlineStr">
        <is>
          <t>付费点</t>
        </is>
      </c>
      <c r="C3" s="8" t="inlineStr">
        <is>
          <t>单价(元)</t>
        </is>
      </c>
      <c r="D3" s="8" t="inlineStr">
        <is>
          <t>日付费率(占模块访客)</t>
        </is>
      </c>
      <c r="E3" s="8" t="inlineStr">
        <is>
          <t>日付费人数</t>
        </is>
      </c>
      <c r="F3" s="8" t="inlineStr">
        <is>
          <t>日流水(元)</t>
        </is>
      </c>
      <c r="G3" s="8" t="inlineStr">
        <is>
          <t>月流水(元)</t>
        </is>
      </c>
      <c r="H3" s="8" t="inlineStr">
        <is>
          <t>定价来源(PRD)</t>
        </is>
      </c>
    </row>
    <row r="4">
      <c r="A4" s="17" t="inlineStr">
        <is>
          <t>A · 深夜信箱 📮</t>
        </is>
      </c>
      <c r="B4" s="4" t="inlineStr">
        <is>
          <t>AI 深度回信(500字含心理分析)</t>
        </is>
      </c>
      <c r="C4" s="7" t="n">
        <v>4.9</v>
      </c>
      <c r="D4" s="18" t="n">
        <v>0.02</v>
      </c>
      <c r="E4" s="19">
        <f>'01-核心假设'!$B$5*'01-核心假设'!$C$22*D4</f>
        <v/>
      </c>
      <c r="F4" s="19">
        <f>C4*E4</f>
        <v/>
      </c>
      <c r="G4" s="19">
        <f>F4*'01-核心假设'!$B$4</f>
        <v/>
      </c>
      <c r="H4" s="20" t="inlineStr">
        <is>
          <t>4.9 元/封</t>
        </is>
      </c>
    </row>
    <row r="5">
      <c r="A5" s="4" t="inlineStr"/>
      <c r="B5" s="4" t="inlineStr">
        <is>
          <t>定制人格回信(如爱豆口吻)</t>
        </is>
      </c>
      <c r="C5" s="7" t="n">
        <v>9.9</v>
      </c>
      <c r="D5" s="18" t="n">
        <v>0.008</v>
      </c>
      <c r="E5" s="19">
        <f>'01-核心假设'!$B$5*'01-核心假设'!$C$22*D5</f>
        <v/>
      </c>
      <c r="F5" s="19">
        <f>C5*E5</f>
        <v/>
      </c>
      <c r="G5" s="19">
        <f>F5*'01-核心假设'!$B$4</f>
        <v/>
      </c>
      <c r="H5" s="20" t="inlineStr">
        <is>
          <t>9.9 元/封</t>
        </is>
      </c>
    </row>
    <row r="6">
      <c r="A6" s="21" t="inlineStr">
        <is>
          <t>A 小计</t>
        </is>
      </c>
      <c r="B6" s="22" t="inlineStr"/>
      <c r="C6" s="22" t="inlineStr"/>
      <c r="D6" s="22" t="inlineStr"/>
      <c r="E6" s="23">
        <f>SUM(E4:E5)</f>
        <v/>
      </c>
      <c r="F6" s="23">
        <f>SUM(F4:F5)</f>
        <v/>
      </c>
      <c r="G6" s="23">
        <f>SUM(G4:G5)</f>
        <v/>
      </c>
      <c r="H6" s="22" t="inlineStr"/>
    </row>
    <row r="7">
      <c r="A7" s="17" t="inlineStr">
        <is>
          <t>B · 摆烂许可证 🪑</t>
        </is>
      </c>
      <c r="B7" s="4" t="inlineStr">
        <is>
          <t>高级许可证模板(企业/古风/赛博/宫廷)</t>
        </is>
      </c>
      <c r="C7" s="7" t="n">
        <v>3</v>
      </c>
      <c r="D7" s="18" t="n">
        <v>0.015</v>
      </c>
      <c r="E7" s="19">
        <f>'01-核心假设'!$B$5*'01-核心假设'!$C$23*D7</f>
        <v/>
      </c>
      <c r="F7" s="19">
        <f>C7*E7</f>
        <v/>
      </c>
      <c r="G7" s="19">
        <f>F7*'01-核心假设'!$B$4</f>
        <v/>
      </c>
      <c r="H7" s="20" t="inlineStr">
        <is>
          <t>3 元/张</t>
        </is>
      </c>
    </row>
    <row r="8">
      <c r="A8" s="4" t="inlineStr"/>
      <c r="B8" s="4" t="inlineStr">
        <is>
          <t>定制头像+姓名专属证书</t>
        </is>
      </c>
      <c r="C8" s="7" t="n">
        <v>6.9</v>
      </c>
      <c r="D8" s="18" t="n">
        <v>0.005</v>
      </c>
      <c r="E8" s="19">
        <f>'01-核心假设'!$B$5*'01-核心假设'!$C$23*D8</f>
        <v/>
      </c>
      <c r="F8" s="19">
        <f>C8*E8</f>
        <v/>
      </c>
      <c r="G8" s="19">
        <f>F8*'01-核心假设'!$B$4</f>
        <v/>
      </c>
      <c r="H8" s="20" t="inlineStr">
        <is>
          <t>6.9 元</t>
        </is>
      </c>
    </row>
    <row r="9">
      <c r="A9" s="4" t="inlineStr"/>
      <c r="B9" s="4" t="inlineStr">
        <is>
          <t>周边·真实印刷明信片(含邮费)</t>
        </is>
      </c>
      <c r="C9" s="7" t="n">
        <v>9.9</v>
      </c>
      <c r="D9" s="18" t="n">
        <v>0.002</v>
      </c>
      <c r="E9" s="19">
        <f>'01-核心假设'!$B$5*'01-核心假设'!$C$23*D9</f>
        <v/>
      </c>
      <c r="F9" s="19">
        <f>C9*E9</f>
        <v/>
      </c>
      <c r="G9" s="19">
        <f>F9*'01-核心假设'!$B$4</f>
        <v/>
      </c>
      <c r="H9" s="20" t="inlineStr">
        <is>
          <t>9.9 元</t>
        </is>
      </c>
    </row>
    <row r="10">
      <c r="A10" s="21" t="inlineStr">
        <is>
          <t>B 小计</t>
        </is>
      </c>
      <c r="B10" s="22" t="inlineStr"/>
      <c r="C10" s="22" t="inlineStr"/>
      <c r="D10" s="22" t="inlineStr"/>
      <c r="E10" s="23">
        <f>SUM(E7:E9)</f>
        <v/>
      </c>
      <c r="F10" s="23">
        <f>SUM(F7:F9)</f>
        <v/>
      </c>
      <c r="G10" s="23">
        <f>SUM(G7:G9)</f>
        <v/>
      </c>
      <c r="H10" s="22" t="inlineStr"/>
    </row>
    <row r="11">
      <c r="A11" s="17" t="inlineStr">
        <is>
          <t>C · 塔罗盲盒 🔮</t>
        </is>
      </c>
      <c r="B11" s="4" t="inlineStr">
        <is>
          <t>三牌阵(过去/现在/未来)</t>
        </is>
      </c>
      <c r="C11" s="7" t="n">
        <v>9.9</v>
      </c>
      <c r="D11" s="18" t="n">
        <v>0.012</v>
      </c>
      <c r="E11" s="19">
        <f>'01-核心假设'!$B$5*'01-核心假设'!$C$24*D11</f>
        <v/>
      </c>
      <c r="F11" s="19">
        <f>C11*E11</f>
        <v/>
      </c>
      <c r="G11" s="19">
        <f>F11*'01-核心假设'!$B$4</f>
        <v/>
      </c>
      <c r="H11" s="20" t="inlineStr">
        <is>
          <t>9.9 元</t>
        </is>
      </c>
    </row>
    <row r="12">
      <c r="A12" s="4" t="inlineStr"/>
      <c r="B12" s="4" t="inlineStr">
        <is>
          <t>深度解读-标准档</t>
        </is>
      </c>
      <c r="C12" s="7" t="n">
        <v>19.9</v>
      </c>
      <c r="D12" s="18" t="n">
        <v>0.006</v>
      </c>
      <c r="E12" s="19">
        <f>'01-核心假设'!$B$5*'01-核心假设'!$C$24*D12</f>
        <v/>
      </c>
      <c r="F12" s="19">
        <f>C12*E12</f>
        <v/>
      </c>
      <c r="G12" s="19">
        <f>F12*'01-核心假设'!$B$4</f>
        <v/>
      </c>
      <c r="H12" s="20" t="inlineStr">
        <is>
          <t>19.9~68 元区间下限</t>
        </is>
      </c>
    </row>
    <row r="13">
      <c r="A13" s="4" t="inlineStr"/>
      <c r="B13" s="4" t="inlineStr">
        <is>
          <t>深度解读-旗舰档</t>
        </is>
      </c>
      <c r="C13" s="7" t="n">
        <v>68</v>
      </c>
      <c r="D13" s="18" t="n">
        <v>0.001</v>
      </c>
      <c r="E13" s="19">
        <f>'01-核心假设'!$B$5*'01-核心假设'!$C$24*D13</f>
        <v/>
      </c>
      <c r="F13" s="19">
        <f>C13*E13</f>
        <v/>
      </c>
      <c r="G13" s="19">
        <f>F13*'01-核心假设'!$B$4</f>
        <v/>
      </c>
      <c r="H13" s="20" t="inlineStr">
        <is>
          <t>19.9~68 元区间上限</t>
        </is>
      </c>
    </row>
    <row r="14">
      <c r="A14" s="4" t="inlineStr"/>
      <c r="B14" s="4" t="inlineStr">
        <is>
          <t>情感专题牌阵-标准档</t>
        </is>
      </c>
      <c r="C14" s="7" t="n">
        <v>29.9</v>
      </c>
      <c r="D14" s="18" t="n">
        <v>0.004</v>
      </c>
      <c r="E14" s="19">
        <f>'01-核心假设'!$B$5*'01-核心假设'!$C$24*D14</f>
        <v/>
      </c>
      <c r="F14" s="19">
        <f>C14*E14</f>
        <v/>
      </c>
      <c r="G14" s="19">
        <f>F14*'01-核心假设'!$B$4</f>
        <v/>
      </c>
      <c r="H14" s="20" t="inlineStr">
        <is>
          <t>29.9~99 元区间下限</t>
        </is>
      </c>
    </row>
    <row r="15">
      <c r="A15" s="4" t="inlineStr"/>
      <c r="B15" s="4" t="inlineStr">
        <is>
          <t>情感专题牌阵-豪华档</t>
        </is>
      </c>
      <c r="C15" s="7" t="n">
        <v>99</v>
      </c>
      <c r="D15" s="18" t="n">
        <v>0.001</v>
      </c>
      <c r="E15" s="19">
        <f>'01-核心假设'!$B$5*'01-核心假设'!$C$24*D15</f>
        <v/>
      </c>
      <c r="F15" s="19">
        <f>C15*E15</f>
        <v/>
      </c>
      <c r="G15" s="19">
        <f>F15*'01-核心假设'!$B$4</f>
        <v/>
      </c>
      <c r="H15" s="20" t="inlineStr">
        <is>
          <t>29.9~99 元区间上限</t>
        </is>
      </c>
    </row>
    <row r="16">
      <c r="A16" s="4" t="inlineStr"/>
      <c r="B16" s="4" t="inlineStr">
        <is>
          <t>年度塔罗报告(生日/元旦)</t>
        </is>
      </c>
      <c r="C16" s="7" t="n">
        <v>99</v>
      </c>
      <c r="D16" s="18" t="n">
        <v>0.0005</v>
      </c>
      <c r="E16" s="19">
        <f>'01-核心假设'!$B$5*'01-核心假设'!$C$24*D16</f>
        <v/>
      </c>
      <c r="F16" s="19">
        <f>C16*E16</f>
        <v/>
      </c>
      <c r="G16" s="19">
        <f>F16*'01-核心假设'!$B$4</f>
        <v/>
      </c>
      <c r="H16" s="20" t="inlineStr">
        <is>
          <t>99 元(年化到日均)</t>
        </is>
      </c>
    </row>
    <row r="17">
      <c r="A17" s="21" t="inlineStr">
        <is>
          <t>C 小计</t>
        </is>
      </c>
      <c r="B17" s="22" t="inlineStr"/>
      <c r="C17" s="22" t="inlineStr"/>
      <c r="D17" s="22" t="inlineStr"/>
      <c r="E17" s="23">
        <f>SUM(E11:E16)</f>
        <v/>
      </c>
      <c r="F17" s="23">
        <f>SUM(F11:F16)</f>
        <v/>
      </c>
      <c r="G17" s="23">
        <f>SUM(G11:G16)</f>
        <v/>
      </c>
      <c r="H17" s="22" t="inlineStr"/>
    </row>
    <row r="18">
      <c r="A18" s="17" t="inlineStr">
        <is>
          <t>D · 许愿池 🕯</t>
        </is>
      </c>
      <c r="B18" s="4" t="inlineStr">
        <is>
          <t>高级木鱼皮肤(金色/水晶/敦煌)</t>
        </is>
      </c>
      <c r="C18" s="7" t="n">
        <v>6</v>
      </c>
      <c r="D18" s="18" t="n">
        <v>0.008</v>
      </c>
      <c r="E18" s="19">
        <f>'01-核心假设'!$B$5*'01-核心假设'!$C$25*D18</f>
        <v/>
      </c>
      <c r="F18" s="19">
        <f>C18*E18</f>
        <v/>
      </c>
      <c r="G18" s="19">
        <f>F18*'01-核心假设'!$B$4</f>
        <v/>
      </c>
      <c r="H18" s="20" t="inlineStr">
        <is>
          <t>6 元</t>
        </is>
      </c>
    </row>
    <row r="19">
      <c r="A19" s="4" t="inlineStr"/>
      <c r="B19" s="4" t="inlineStr">
        <is>
          <t>结愿仪式(AI 心愿达成祝福信)</t>
        </is>
      </c>
      <c r="C19" s="7" t="n">
        <v>4.9</v>
      </c>
      <c r="D19" s="18" t="n">
        <v>0.01</v>
      </c>
      <c r="E19" s="19">
        <f>'01-核心假设'!$B$5*'01-核心假设'!$C$25*D19</f>
        <v/>
      </c>
      <c r="F19" s="19">
        <f>C19*E19</f>
        <v/>
      </c>
      <c r="G19" s="19">
        <f>F19*'01-核心假设'!$B$4</f>
        <v/>
      </c>
      <c r="H19" s="20" t="inlineStr">
        <is>
          <t>4.9 元</t>
        </is>
      </c>
    </row>
    <row r="20">
      <c r="A20" s="21" t="inlineStr">
        <is>
          <t>D 小计</t>
        </is>
      </c>
      <c r="B20" s="22" t="inlineStr"/>
      <c r="C20" s="22" t="inlineStr"/>
      <c r="D20" s="22" t="inlineStr"/>
      <c r="E20" s="23">
        <f>SUM(E18:E19)</f>
        <v/>
      </c>
      <c r="F20" s="23">
        <f>SUM(F18:F19)</f>
        <v/>
      </c>
      <c r="G20" s="23">
        <f>SUM(G18:G19)</f>
        <v/>
      </c>
      <c r="H20" s="22" t="inlineStr"/>
    </row>
    <row r="21">
      <c r="A21" s="17" t="inlineStr">
        <is>
          <t>E · 漂流墙 💌</t>
        </is>
      </c>
      <c r="B21" s="4" t="inlineStr">
        <is>
          <t>虚拟礼物-糖果档</t>
        </is>
      </c>
      <c r="C21" s="7" t="n">
        <v>0.6</v>
      </c>
      <c r="D21" s="18" t="n">
        <v>0.02</v>
      </c>
      <c r="E21" s="19">
        <f>'01-核心假设'!$B$5*'01-核心假设'!$C$26*D21</f>
        <v/>
      </c>
      <c r="F21" s="19">
        <f>C21*E21</f>
        <v/>
      </c>
      <c r="G21" s="19">
        <f>F21*'01-核心假设'!$B$4</f>
        <v/>
      </c>
      <c r="H21" s="20" t="inlineStr">
        <is>
          <t>0.6 元档</t>
        </is>
      </c>
    </row>
    <row r="22">
      <c r="A22" s="4" t="inlineStr"/>
      <c r="B22" s="4" t="inlineStr">
        <is>
          <t>虚拟礼物-抱抱档</t>
        </is>
      </c>
      <c r="C22" s="7" t="n">
        <v>1.9</v>
      </c>
      <c r="D22" s="18" t="n">
        <v>0.008</v>
      </c>
      <c r="E22" s="19">
        <f>'01-核心假设'!$B$5*'01-核心假设'!$C$26*D22</f>
        <v/>
      </c>
      <c r="F22" s="19">
        <f>C22*E22</f>
        <v/>
      </c>
      <c r="G22" s="19">
        <f>F22*'01-核心假设'!$B$4</f>
        <v/>
      </c>
      <c r="H22" s="20" t="inlineStr">
        <is>
          <t>1.9 元档</t>
        </is>
      </c>
    </row>
    <row r="23">
      <c r="A23" s="4" t="inlineStr"/>
      <c r="B23" s="4" t="inlineStr">
        <is>
          <t>虚拟礼物-烛光档</t>
        </is>
      </c>
      <c r="C23" s="7" t="n">
        <v>9.9</v>
      </c>
      <c r="D23" s="18" t="n">
        <v>0.002</v>
      </c>
      <c r="E23" s="19">
        <f>'01-核心假设'!$B$5*'01-核心假设'!$C$26*D23</f>
        <v/>
      </c>
      <c r="F23" s="19">
        <f>C23*E23</f>
        <v/>
      </c>
      <c r="G23" s="19">
        <f>F23*'01-核心假设'!$B$4</f>
        <v/>
      </c>
      <c r="H23" s="20" t="inlineStr">
        <is>
          <t>9.9 元档</t>
        </is>
      </c>
    </row>
    <row r="24">
      <c r="A24" s="21" t="inlineStr">
        <is>
          <t>E 小计</t>
        </is>
      </c>
      <c r="B24" s="22" t="inlineStr"/>
      <c r="C24" s="22" t="inlineStr"/>
      <c r="D24" s="22" t="inlineStr"/>
      <c r="E24" s="23">
        <f>SUM(E21:E23)</f>
        <v/>
      </c>
      <c r="F24" s="23">
        <f>SUM(F21:F23)</f>
        <v/>
      </c>
      <c r="G24" s="23">
        <f>SUM(G21:G23)</f>
        <v/>
      </c>
      <c r="H24" s="22" t="inlineStr"/>
    </row>
    <row r="25">
      <c r="A25" s="24" t="inlineStr">
        <is>
          <t>单点合计</t>
        </is>
      </c>
      <c r="B25" s="25" t="inlineStr"/>
      <c r="C25" s="25" t="inlineStr"/>
      <c r="D25" s="25" t="inlineStr"/>
      <c r="E25" s="26">
        <f>SUM(E6,E10,E17,E20,E24)</f>
        <v/>
      </c>
      <c r="F25" s="26">
        <f>SUM(F6,F10,F17,F20,F24)</f>
        <v/>
      </c>
      <c r="G25" s="26">
        <f>SUM(G6,G10,G17,G20,G24)</f>
        <v/>
      </c>
      <c r="H25" s="25" t="inlineStr"/>
    </row>
    <row r="26">
      <c r="A26" s="4" t="inlineStr">
        <is>
          <t>整体付费率(日付费人数 / 基准DAU, 同一用户多点付费未去重, 为上限)</t>
        </is>
      </c>
      <c r="G26" s="27">
        <f>E25/'01-核心假设'!$B$5</f>
        <v/>
      </c>
      <c r="H26" s="20" t="inlineStr">
        <is>
          <t>对标 PRD ≥3%</t>
        </is>
      </c>
    </row>
    <row r="27">
      <c r="A27" s="4" t="inlineStr">
        <is>
          <t>单点月 ARPU(单点月流水 / 基准DAU)</t>
        </is>
      </c>
      <c r="G27" s="28">
        <f>G25/'01-核心假设'!$B$5</f>
        <v/>
      </c>
      <c r="H27" s="20" t="inlineStr">
        <is>
          <t>对标 PRD ≥8 元(含会员后)</t>
        </is>
      </c>
    </row>
  </sheetData>
  <mergeCells count="4">
    <mergeCell ref="A26:F26"/>
    <mergeCell ref="A27:F27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651D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6" customWidth="1" min="7" max="7"/>
    <col width="10" customWidth="1" min="8" max="8"/>
  </cols>
  <sheetData>
    <row r="1" ht="26" customHeight="1">
      <c r="A1" s="1" t="inlineStr">
        <is>
          <t>03 · 交叉转化敏感度分析 — 「情绪超市」核心杠杆</t>
        </is>
      </c>
    </row>
    <row r="2">
      <c r="A2" s="2" t="inlineStr">
        <is>
          <t>逻辑: 用户从来源模块被引流到去向模块后, 按去向模块的付费率与 ARPPU 产生增量收入。增量 = DAU × 来源渗透率 × 交叉转化率 × 去向付费率 × 去向ARPPU × 天数。</t>
        </is>
      </c>
    </row>
    <row r="3">
      <c r="A3" s="3" t="inlineStr">
        <is>
          <t>一、模块付费效率(引用 02 表自动计算)</t>
        </is>
      </c>
    </row>
    <row r="4" ht="28" customHeight="1">
      <c r="A4" s="8" t="inlineStr">
        <is>
          <t>模块</t>
        </is>
      </c>
      <c r="B4" s="8" t="inlineStr">
        <is>
          <t>日访客(人)</t>
        </is>
      </c>
      <c r="C4" s="8" t="inlineStr">
        <is>
          <t>日付费人数</t>
        </is>
      </c>
      <c r="D4" s="8" t="inlineStr">
        <is>
          <t>付费率</t>
        </is>
      </c>
      <c r="E4" s="8" t="inlineStr">
        <is>
          <t>月流水(元)</t>
        </is>
      </c>
      <c r="F4" s="8" t="inlineStr">
        <is>
          <t>ARPPU(元/付费用户·月)</t>
        </is>
      </c>
    </row>
    <row r="5">
      <c r="A5" s="4" t="inlineStr">
        <is>
          <t>A · 深夜信箱</t>
        </is>
      </c>
      <c r="B5" s="19">
        <f>'01-核心假设'!$B$5*'01-核心假设'!$C$22</f>
        <v/>
      </c>
      <c r="C5" s="19">
        <f>'02-模块收入模型'!$E$6</f>
        <v/>
      </c>
      <c r="D5" s="29">
        <f>C5/B5</f>
        <v/>
      </c>
      <c r="E5" s="19">
        <f>'02-模块收入模型'!$G$6</f>
        <v/>
      </c>
      <c r="F5" s="7">
        <f>E5/(C5*'01-核心假设'!$B$4)</f>
        <v/>
      </c>
    </row>
    <row r="6">
      <c r="A6" s="4" t="inlineStr">
        <is>
          <t>B · 摆烂许可证</t>
        </is>
      </c>
      <c r="B6" s="19">
        <f>'01-核心假设'!$B$5*'01-核心假设'!$C$23</f>
        <v/>
      </c>
      <c r="C6" s="19">
        <f>'02-模块收入模型'!$E$10</f>
        <v/>
      </c>
      <c r="D6" s="29">
        <f>C6/B6</f>
        <v/>
      </c>
      <c r="E6" s="19">
        <f>'02-模块收入模型'!$G$10</f>
        <v/>
      </c>
      <c r="F6" s="7">
        <f>E6/(C6*'01-核心假设'!$B$4)</f>
        <v/>
      </c>
    </row>
    <row r="7">
      <c r="A7" s="4" t="inlineStr">
        <is>
          <t>C · 塔罗盲盒</t>
        </is>
      </c>
      <c r="B7" s="19">
        <f>'01-核心假设'!$B$5*'01-核心假设'!$C$24</f>
        <v/>
      </c>
      <c r="C7" s="19">
        <f>'02-模块收入模型'!$E$17</f>
        <v/>
      </c>
      <c r="D7" s="29">
        <f>C7/B7</f>
        <v/>
      </c>
      <c r="E7" s="19">
        <f>'02-模块收入模型'!$G$17</f>
        <v/>
      </c>
      <c r="F7" s="7">
        <f>E7/(C7*'01-核心假设'!$B$4)</f>
        <v/>
      </c>
    </row>
    <row r="8">
      <c r="A8" s="4" t="inlineStr">
        <is>
          <t>D · 许愿池</t>
        </is>
      </c>
      <c r="B8" s="19">
        <f>'01-核心假设'!$B$5*'01-核心假设'!$C$25</f>
        <v/>
      </c>
      <c r="C8" s="19">
        <f>'02-模块收入模型'!$E$20</f>
        <v/>
      </c>
      <c r="D8" s="29">
        <f>C8/B8</f>
        <v/>
      </c>
      <c r="E8" s="19">
        <f>'02-模块收入模型'!$G$20</f>
        <v/>
      </c>
      <c r="F8" s="7">
        <f>E8/(C8*'01-核心假设'!$B$4)</f>
        <v/>
      </c>
    </row>
    <row r="9">
      <c r="A9" s="4" t="inlineStr">
        <is>
          <t>E · 漂流墙</t>
        </is>
      </c>
      <c r="B9" s="19">
        <f>'01-核心假设'!$B$5*'01-核心假设'!$C$26</f>
        <v/>
      </c>
      <c r="C9" s="19">
        <f>'02-模块收入模型'!$E$24</f>
        <v/>
      </c>
      <c r="D9" s="29">
        <f>C9/B9</f>
        <v/>
      </c>
      <c r="E9" s="19">
        <f>'02-模块收入模型'!$G$24</f>
        <v/>
      </c>
      <c r="F9" s="7">
        <f>E9/(C9*'01-核心假设'!$B$4)</f>
        <v/>
      </c>
    </row>
    <row r="11">
      <c r="A11" s="3" t="inlineStr">
        <is>
          <t>二、交叉转化矩阵(每日: 从「行」来源模块进入「列」去向模块的转化率, 黄色可调)</t>
        </is>
      </c>
    </row>
    <row r="12">
      <c r="A12" s="8" t="inlineStr">
        <is>
          <t>来源 ↓ / 去向 →</t>
        </is>
      </c>
      <c r="B12" s="8" t="inlineStr">
        <is>
          <t>A</t>
        </is>
      </c>
      <c r="C12" s="8" t="inlineStr">
        <is>
          <t>B</t>
        </is>
      </c>
      <c r="D12" s="8" t="inlineStr">
        <is>
          <t>C</t>
        </is>
      </c>
      <c r="E12" s="8" t="inlineStr">
        <is>
          <t>D</t>
        </is>
      </c>
      <c r="F12" s="8" t="inlineStr">
        <is>
          <t>E</t>
        </is>
      </c>
    </row>
    <row r="13">
      <c r="A13" s="30" t="inlineStr">
        <is>
          <t>A</t>
        </is>
      </c>
      <c r="B13" s="31" t="inlineStr">
        <is>
          <t>—</t>
        </is>
      </c>
      <c r="C13" s="32" t="n">
        <v>0.03</v>
      </c>
      <c r="D13" s="32" t="n">
        <v>0.05</v>
      </c>
      <c r="E13" s="32" t="n">
        <v>0.02</v>
      </c>
      <c r="F13" s="32" t="n">
        <v>0.08</v>
      </c>
    </row>
    <row r="14">
      <c r="A14" s="30" t="inlineStr">
        <is>
          <t>B</t>
        </is>
      </c>
      <c r="B14" s="32" t="n">
        <v>0.01</v>
      </c>
      <c r="C14" s="31" t="inlineStr">
        <is>
          <t>—</t>
        </is>
      </c>
      <c r="D14" s="32" t="n">
        <v>0.02</v>
      </c>
      <c r="E14" s="32" t="n">
        <v>0.02</v>
      </c>
      <c r="F14" s="32" t="n">
        <v>0.01</v>
      </c>
    </row>
    <row r="15">
      <c r="A15" s="30" t="inlineStr">
        <is>
          <t>C</t>
        </is>
      </c>
      <c r="B15" s="32" t="n">
        <v>0.02</v>
      </c>
      <c r="C15" s="32" t="n">
        <v>0.01</v>
      </c>
      <c r="D15" s="31" t="inlineStr">
        <is>
          <t>—</t>
        </is>
      </c>
      <c r="E15" s="32" t="n">
        <v>0.04</v>
      </c>
      <c r="F15" s="32" t="n">
        <v>0.01</v>
      </c>
    </row>
    <row r="16">
      <c r="A16" s="30" t="inlineStr">
        <is>
          <t>D</t>
        </is>
      </c>
      <c r="B16" s="32" t="n">
        <v>0.01</v>
      </c>
      <c r="C16" s="32" t="n">
        <v>0.02</v>
      </c>
      <c r="D16" s="32" t="n">
        <v>0.03</v>
      </c>
      <c r="E16" s="31" t="inlineStr">
        <is>
          <t>—</t>
        </is>
      </c>
      <c r="F16" s="32" t="n">
        <v>0.01</v>
      </c>
    </row>
    <row r="17">
      <c r="A17" s="30" t="inlineStr">
        <is>
          <t>E</t>
        </is>
      </c>
      <c r="B17" s="32" t="n">
        <v>0.05</v>
      </c>
      <c r="C17" s="32" t="n">
        <v>0.01</v>
      </c>
      <c r="D17" s="32" t="n">
        <v>0.02</v>
      </c>
      <c r="E17" s="32" t="n">
        <v>0.02</v>
      </c>
      <c r="F17" s="31" t="inlineStr">
        <is>
          <t>—</t>
        </is>
      </c>
    </row>
    <row r="18">
      <c r="A18" s="2" t="inlineStr">
        <is>
          <t>依据: A→E 最高(写信可直接「漂流」到墙, PRD 原生动线); A→C 次之(深夜 emo 写信后顺手抽牌); C→D(塔罗结果引导许愿); E→A(看墙引发倾诉欲)。</t>
        </is>
      </c>
    </row>
    <row r="20">
      <c r="A20" s="3" t="inlineStr">
        <is>
          <t>三、交叉转化增量测算(按基准 DAU; 行已按增量从大到小排序 → 最上方即最大杠杆)</t>
        </is>
      </c>
    </row>
    <row r="21" ht="28" customHeight="1">
      <c r="A21" s="8" t="inlineStr">
        <is>
          <t>路径</t>
        </is>
      </c>
      <c r="B21" s="8" t="inlineStr">
        <is>
          <t>转化率</t>
        </is>
      </c>
      <c r="C21" s="8" t="inlineStr">
        <is>
          <t>日交叉引流(人)</t>
        </is>
      </c>
      <c r="D21" s="8" t="inlineStr">
        <is>
          <t>去向付费率</t>
        </is>
      </c>
      <c r="E21" s="8" t="inlineStr">
        <is>
          <t>去向ARPPU(元)</t>
        </is>
      </c>
      <c r="F21" s="8" t="inlineStr">
        <is>
          <t>日增量付费(人)</t>
        </is>
      </c>
      <c r="G21" s="8" t="inlineStr">
        <is>
          <t>月增量流水(元)</t>
        </is>
      </c>
    </row>
    <row r="22">
      <c r="A22" s="33" t="inlineStr">
        <is>
          <t>A → C</t>
        </is>
      </c>
      <c r="B22" s="34">
        <f>$D$13</f>
        <v/>
      </c>
      <c r="C22" s="19">
        <f>'01-核心假设'!$B$5*'01-核心假设'!$C$22*B22</f>
        <v/>
      </c>
      <c r="D22" s="29">
        <f>$D$7</f>
        <v/>
      </c>
      <c r="E22" s="7">
        <f>$F$7</f>
        <v/>
      </c>
      <c r="F22" s="35">
        <f>C22*D22</f>
        <v/>
      </c>
      <c r="G22" s="36">
        <f>F22*E22*'01-核心假设'!$B$4</f>
        <v/>
      </c>
    </row>
    <row r="23">
      <c r="A23" s="33" t="inlineStr">
        <is>
          <t>D → C</t>
        </is>
      </c>
      <c r="B23" s="34">
        <f>$D$16</f>
        <v/>
      </c>
      <c r="C23" s="19">
        <f>'01-核心假设'!$B$5*'01-核心假设'!$C$25*B23</f>
        <v/>
      </c>
      <c r="D23" s="29">
        <f>$D$7</f>
        <v/>
      </c>
      <c r="E23" s="7">
        <f>$F$7</f>
        <v/>
      </c>
      <c r="F23" s="35">
        <f>C23*D23</f>
        <v/>
      </c>
      <c r="G23" s="36">
        <f>F23*E23*'01-核心假设'!$B$4</f>
        <v/>
      </c>
    </row>
    <row r="24">
      <c r="A24" s="33" t="inlineStr">
        <is>
          <t>B → C</t>
        </is>
      </c>
      <c r="B24" s="34">
        <f>$D$14</f>
        <v/>
      </c>
      <c r="C24" s="19">
        <f>'01-核心假设'!$B$5*'01-核心假设'!$C$23*B24</f>
        <v/>
      </c>
      <c r="D24" s="29">
        <f>$D$7</f>
        <v/>
      </c>
      <c r="E24" s="7">
        <f>$F$7</f>
        <v/>
      </c>
      <c r="F24" s="35">
        <f>C24*D24</f>
        <v/>
      </c>
      <c r="G24" s="36">
        <f>F24*E24*'01-核心假设'!$B$4</f>
        <v/>
      </c>
    </row>
    <row r="25">
      <c r="A25" s="9" t="inlineStr">
        <is>
          <t>E → C</t>
        </is>
      </c>
      <c r="B25" s="34">
        <f>$D$17</f>
        <v/>
      </c>
      <c r="C25" s="19">
        <f>'01-核心假设'!$B$5*'01-核心假设'!$C$26*B25</f>
        <v/>
      </c>
      <c r="D25" s="29">
        <f>$D$7</f>
        <v/>
      </c>
      <c r="E25" s="7">
        <f>$F$7</f>
        <v/>
      </c>
      <c r="F25" s="35">
        <f>C25*D25</f>
        <v/>
      </c>
      <c r="G25" s="19">
        <f>F25*E25*'01-核心假设'!$B$4</f>
        <v/>
      </c>
    </row>
    <row r="26">
      <c r="A26" s="9" t="inlineStr">
        <is>
          <t>E → A</t>
        </is>
      </c>
      <c r="B26" s="34">
        <f>$B$17</f>
        <v/>
      </c>
      <c r="C26" s="19">
        <f>'01-核心假设'!$B$5*'01-核心假设'!$C$26*B26</f>
        <v/>
      </c>
      <c r="D26" s="29">
        <f>$D$5</f>
        <v/>
      </c>
      <c r="E26" s="7">
        <f>$F$5</f>
        <v/>
      </c>
      <c r="F26" s="35">
        <f>C26*D26</f>
        <v/>
      </c>
      <c r="G26" s="19">
        <f>F26*E26*'01-核心假设'!$B$4</f>
        <v/>
      </c>
    </row>
    <row r="27">
      <c r="A27" s="9" t="inlineStr">
        <is>
          <t>A → E</t>
        </is>
      </c>
      <c r="B27" s="34">
        <f>$F$13</f>
        <v/>
      </c>
      <c r="C27" s="19">
        <f>'01-核心假设'!$B$5*'01-核心假设'!$C$22*B27</f>
        <v/>
      </c>
      <c r="D27" s="29">
        <f>$D$9</f>
        <v/>
      </c>
      <c r="E27" s="7">
        <f>$F$9</f>
        <v/>
      </c>
      <c r="F27" s="35">
        <f>C27*D27</f>
        <v/>
      </c>
      <c r="G27" s="19">
        <f>F27*E27*'01-核心假设'!$B$4</f>
        <v/>
      </c>
    </row>
    <row r="28">
      <c r="A28" s="9" t="inlineStr">
        <is>
          <t>B → D</t>
        </is>
      </c>
      <c r="B28" s="34">
        <f>$E$14</f>
        <v/>
      </c>
      <c r="C28" s="19">
        <f>'01-核心假设'!$B$5*'01-核心假设'!$C$23*B28</f>
        <v/>
      </c>
      <c r="D28" s="29">
        <f>$D$8</f>
        <v/>
      </c>
      <c r="E28" s="7">
        <f>$F$8</f>
        <v/>
      </c>
      <c r="F28" s="35">
        <f>C28*D28</f>
        <v/>
      </c>
      <c r="G28" s="19">
        <f>F28*E28*'01-核心假设'!$B$4</f>
        <v/>
      </c>
    </row>
    <row r="29">
      <c r="A29" s="9" t="inlineStr">
        <is>
          <t>C → D</t>
        </is>
      </c>
      <c r="B29" s="34">
        <f>$E$15</f>
        <v/>
      </c>
      <c r="C29" s="19">
        <f>'01-核心假设'!$B$5*'01-核心假设'!$C$24*B29</f>
        <v/>
      </c>
      <c r="D29" s="29">
        <f>$D$8</f>
        <v/>
      </c>
      <c r="E29" s="7">
        <f>$F$8</f>
        <v/>
      </c>
      <c r="F29" s="35">
        <f>C29*D29</f>
        <v/>
      </c>
      <c r="G29" s="19">
        <f>F29*E29*'01-核心假设'!$B$4</f>
        <v/>
      </c>
    </row>
    <row r="30">
      <c r="A30" s="9" t="inlineStr">
        <is>
          <t>A → B</t>
        </is>
      </c>
      <c r="B30" s="34">
        <f>$C$13</f>
        <v/>
      </c>
      <c r="C30" s="19">
        <f>'01-核心假设'!$B$5*'01-核心假设'!$C$22*B30</f>
        <v/>
      </c>
      <c r="D30" s="29">
        <f>$D$6</f>
        <v/>
      </c>
      <c r="E30" s="7">
        <f>$F$6</f>
        <v/>
      </c>
      <c r="F30" s="35">
        <f>C30*D30</f>
        <v/>
      </c>
      <c r="G30" s="19">
        <f>F30*E30*'01-核心假设'!$B$4</f>
        <v/>
      </c>
    </row>
    <row r="31">
      <c r="A31" s="9" t="inlineStr">
        <is>
          <t>B → A</t>
        </is>
      </c>
      <c r="B31" s="34">
        <f>$B$14</f>
        <v/>
      </c>
      <c r="C31" s="19">
        <f>'01-核心假设'!$B$5*'01-核心假设'!$C$23*B31</f>
        <v/>
      </c>
      <c r="D31" s="29">
        <f>$D$5</f>
        <v/>
      </c>
      <c r="E31" s="7">
        <f>$F$5</f>
        <v/>
      </c>
      <c r="F31" s="35">
        <f>C31*D31</f>
        <v/>
      </c>
      <c r="G31" s="19">
        <f>F31*E31*'01-核心假设'!$B$4</f>
        <v/>
      </c>
    </row>
    <row r="32">
      <c r="A32" s="9" t="inlineStr">
        <is>
          <t>C → A</t>
        </is>
      </c>
      <c r="B32" s="34">
        <f>$B$15</f>
        <v/>
      </c>
      <c r="C32" s="19">
        <f>'01-核心假设'!$B$5*'01-核心假设'!$C$24*B32</f>
        <v/>
      </c>
      <c r="D32" s="29">
        <f>$D$5</f>
        <v/>
      </c>
      <c r="E32" s="7">
        <f>$F$5</f>
        <v/>
      </c>
      <c r="F32" s="35">
        <f>C32*D32</f>
        <v/>
      </c>
      <c r="G32" s="19">
        <f>F32*E32*'01-核心假设'!$B$4</f>
        <v/>
      </c>
    </row>
    <row r="33">
      <c r="A33" s="9" t="inlineStr">
        <is>
          <t>E → D</t>
        </is>
      </c>
      <c r="B33" s="34">
        <f>$E$17</f>
        <v/>
      </c>
      <c r="C33" s="19">
        <f>'01-核心假设'!$B$5*'01-核心假设'!$C$26*B33</f>
        <v/>
      </c>
      <c r="D33" s="29">
        <f>$D$8</f>
        <v/>
      </c>
      <c r="E33" s="7">
        <f>$F$8</f>
        <v/>
      </c>
      <c r="F33" s="35">
        <f>C33*D33</f>
        <v/>
      </c>
      <c r="G33" s="19">
        <f>F33*E33*'01-核心假设'!$B$4</f>
        <v/>
      </c>
    </row>
    <row r="34">
      <c r="A34" s="9" t="inlineStr">
        <is>
          <t>D → B</t>
        </is>
      </c>
      <c r="B34" s="34">
        <f>$C$16</f>
        <v/>
      </c>
      <c r="C34" s="19">
        <f>'01-核心假设'!$B$5*'01-核心假设'!$C$25*B34</f>
        <v/>
      </c>
      <c r="D34" s="29">
        <f>$D$6</f>
        <v/>
      </c>
      <c r="E34" s="7">
        <f>$F$6</f>
        <v/>
      </c>
      <c r="F34" s="35">
        <f>C34*D34</f>
        <v/>
      </c>
      <c r="G34" s="19">
        <f>F34*E34*'01-核心假设'!$B$4</f>
        <v/>
      </c>
    </row>
    <row r="35">
      <c r="A35" s="9" t="inlineStr">
        <is>
          <t>D → A</t>
        </is>
      </c>
      <c r="B35" s="34">
        <f>$B$16</f>
        <v/>
      </c>
      <c r="C35" s="19">
        <f>'01-核心假设'!$B$5*'01-核心假设'!$C$25*B35</f>
        <v/>
      </c>
      <c r="D35" s="29">
        <f>$D$5</f>
        <v/>
      </c>
      <c r="E35" s="7">
        <f>$F$5</f>
        <v/>
      </c>
      <c r="F35" s="35">
        <f>C35*D35</f>
        <v/>
      </c>
      <c r="G35" s="19">
        <f>F35*E35*'01-核心假设'!$B$4</f>
        <v/>
      </c>
    </row>
    <row r="36">
      <c r="A36" s="9" t="inlineStr">
        <is>
          <t>A → D</t>
        </is>
      </c>
      <c r="B36" s="34">
        <f>$E$13</f>
        <v/>
      </c>
      <c r="C36" s="19">
        <f>'01-核心假设'!$B$5*'01-核心假设'!$C$22*B36</f>
        <v/>
      </c>
      <c r="D36" s="29">
        <f>$D$8</f>
        <v/>
      </c>
      <c r="E36" s="7">
        <f>$F$8</f>
        <v/>
      </c>
      <c r="F36" s="35">
        <f>C36*D36</f>
        <v/>
      </c>
      <c r="G36" s="19">
        <f>F36*E36*'01-核心假设'!$B$4</f>
        <v/>
      </c>
    </row>
    <row r="37">
      <c r="A37" s="9" t="inlineStr">
        <is>
          <t>E → B</t>
        </is>
      </c>
      <c r="B37" s="34">
        <f>$C$17</f>
        <v/>
      </c>
      <c r="C37" s="19">
        <f>'01-核心假设'!$B$5*'01-核心假设'!$C$26*B37</f>
        <v/>
      </c>
      <c r="D37" s="29">
        <f>$D$6</f>
        <v/>
      </c>
      <c r="E37" s="7">
        <f>$F$6</f>
        <v/>
      </c>
      <c r="F37" s="35">
        <f>C37*D37</f>
        <v/>
      </c>
      <c r="G37" s="19">
        <f>F37*E37*'01-核心假设'!$B$4</f>
        <v/>
      </c>
    </row>
    <row r="38">
      <c r="A38" s="9" t="inlineStr">
        <is>
          <t>C → B</t>
        </is>
      </c>
      <c r="B38" s="34">
        <f>$C$15</f>
        <v/>
      </c>
      <c r="C38" s="19">
        <f>'01-核心假设'!$B$5*'01-核心假设'!$C$24*B38</f>
        <v/>
      </c>
      <c r="D38" s="29">
        <f>$D$6</f>
        <v/>
      </c>
      <c r="E38" s="7">
        <f>$F$6</f>
        <v/>
      </c>
      <c r="F38" s="35">
        <f>C38*D38</f>
        <v/>
      </c>
      <c r="G38" s="19">
        <f>F38*E38*'01-核心假设'!$B$4</f>
        <v/>
      </c>
    </row>
    <row r="39">
      <c r="A39" s="9" t="inlineStr">
        <is>
          <t>B → E</t>
        </is>
      </c>
      <c r="B39" s="34">
        <f>$F$14</f>
        <v/>
      </c>
      <c r="C39" s="19">
        <f>'01-核心假设'!$B$5*'01-核心假设'!$C$23*B39</f>
        <v/>
      </c>
      <c r="D39" s="29">
        <f>$D$9</f>
        <v/>
      </c>
      <c r="E39" s="7">
        <f>$F$9</f>
        <v/>
      </c>
      <c r="F39" s="35">
        <f>C39*D39</f>
        <v/>
      </c>
      <c r="G39" s="19">
        <f>F39*E39*'01-核心假设'!$B$4</f>
        <v/>
      </c>
    </row>
    <row r="40">
      <c r="A40" s="9" t="inlineStr">
        <is>
          <t>D → E</t>
        </is>
      </c>
      <c r="B40" s="34">
        <f>$F$16</f>
        <v/>
      </c>
      <c r="C40" s="19">
        <f>'01-核心假设'!$B$5*'01-核心假设'!$C$25*B40</f>
        <v/>
      </c>
      <c r="D40" s="29">
        <f>$D$9</f>
        <v/>
      </c>
      <c r="E40" s="7">
        <f>$F$9</f>
        <v/>
      </c>
      <c r="F40" s="35">
        <f>C40*D40</f>
        <v/>
      </c>
      <c r="G40" s="19">
        <f>F40*E40*'01-核心假设'!$B$4</f>
        <v/>
      </c>
    </row>
    <row r="41">
      <c r="A41" s="9" t="inlineStr">
        <is>
          <t>C → E</t>
        </is>
      </c>
      <c r="B41" s="34">
        <f>$F$15</f>
        <v/>
      </c>
      <c r="C41" s="19">
        <f>'01-核心假设'!$B$5*'01-核心假设'!$C$24*B41</f>
        <v/>
      </c>
      <c r="D41" s="29">
        <f>$D$9</f>
        <v/>
      </c>
      <c r="E41" s="7">
        <f>$F$9</f>
        <v/>
      </c>
      <c r="F41" s="35">
        <f>C41*D41</f>
        <v/>
      </c>
      <c r="G41" s="19">
        <f>F41*E41*'01-核心假设'!$B$4</f>
        <v/>
      </c>
    </row>
    <row r="42">
      <c r="A42" s="24" t="inlineStr">
        <is>
          <t>交叉转化月增量合计(基准 DAU)</t>
        </is>
      </c>
      <c r="F42" s="37">
        <f>SUM(F22:F41)</f>
        <v/>
      </c>
      <c r="G42" s="26">
        <f>SUM(G22:G41)</f>
        <v/>
      </c>
    </row>
    <row r="43">
      <c r="A43" s="4" t="inlineStr">
        <is>
          <t>矩阵平均交叉转化率</t>
        </is>
      </c>
      <c r="B43" s="27">
        <f>AVERAGE(B13:F17)</f>
        <v/>
      </c>
    </row>
    <row r="44">
      <c r="A44" s="4" t="inlineStr">
        <is>
          <t>交叉增量率(增量 / 单点月流水)</t>
        </is>
      </c>
      <c r="B44" s="27">
        <f>$G$42/'02-模块收入模型'!$G$25</f>
        <v/>
      </c>
    </row>
    <row r="45">
      <c r="A45" s="4" t="inlineStr">
        <is>
          <t>基准 DAU 下「单点+交叉」月收入</t>
        </is>
      </c>
      <c r="B45" s="38">
        <f>'02-模块收入模型'!$G$25+$G$42</f>
        <v/>
      </c>
    </row>
    <row r="46">
      <c r="A46" s="39" t="inlineStr">
        <is>
          <t>★ 交叉转化率每 +1pp(全矩阵同步), 月增收(基准 DAU)</t>
        </is>
      </c>
      <c r="G46" s="36">
        <f>$G$42/$B$43*0.01</f>
        <v/>
      </c>
    </row>
    <row r="48">
      <c r="A48" s="3" t="inlineStr">
        <is>
          <t>四、二维敏感度表: 月总收入(单点+交叉, 元) — 交叉转化率 × DAU</t>
        </is>
      </c>
    </row>
    <row r="49">
      <c r="A49" s="2" t="inlineStr">
        <is>
          <t>「交叉转化率」为全矩阵同步缩放系数(如 5% 表示矩阵每项均为 5%); 单点收入随 DAU 线性缩放, 交叉增量随 DAU × 转化率线性缩放。</t>
        </is>
      </c>
    </row>
    <row r="50">
      <c r="A50" s="8" t="inlineStr">
        <is>
          <t>交叉转化率 ＼ DAU</t>
        </is>
      </c>
      <c r="B50" s="40">
        <f>'01-核心假设'!$B$15</f>
        <v/>
      </c>
      <c r="C50" s="40">
        <f>'01-核心假设'!$B$16</f>
        <v/>
      </c>
      <c r="D50" s="40">
        <f>'01-核心假设'!$B$17</f>
        <v/>
      </c>
      <c r="E50" s="40">
        <f>'01-核心假设'!$B$18</f>
        <v/>
      </c>
    </row>
    <row r="51">
      <c r="A51" s="41" t="n">
        <v>0.01</v>
      </c>
      <c r="B51" s="19">
        <f>('02-模块收入模型'!$G$25+$G$42*($A51/$B$43))*(B$50/'01-核心假设'!$B$5)</f>
        <v/>
      </c>
      <c r="C51" s="19">
        <f>('02-模块收入模型'!$G$25+$G$42*($A51/$B$43))*(C$50/'01-核心假设'!$B$5)</f>
        <v/>
      </c>
      <c r="D51" s="19">
        <f>('02-模块收入模型'!$G$25+$G$42*($A51/$B$43))*(D$50/'01-核心假设'!$B$5)</f>
        <v/>
      </c>
      <c r="E51" s="19">
        <f>('02-模块收入模型'!$G$25+$G$42*($A51/$B$43))*(E$50/'01-核心假设'!$B$5)</f>
        <v/>
      </c>
    </row>
    <row r="52">
      <c r="A52" s="41" t="n">
        <v>0.02</v>
      </c>
      <c r="B52" s="19">
        <f>('02-模块收入模型'!$G$25+$G$42*($A52/$B$43))*(B$50/'01-核心假设'!$B$5)</f>
        <v/>
      </c>
      <c r="C52" s="19">
        <f>('02-模块收入模型'!$G$25+$G$42*($A52/$B$43))*(C$50/'01-核心假设'!$B$5)</f>
        <v/>
      </c>
      <c r="D52" s="19">
        <f>('02-模块收入模型'!$G$25+$G$42*($A52/$B$43))*(D$50/'01-核心假设'!$B$5)</f>
        <v/>
      </c>
      <c r="E52" s="19">
        <f>('02-模块收入模型'!$G$25+$G$42*($A52/$B$43))*(E$50/'01-核心假设'!$B$5)</f>
        <v/>
      </c>
    </row>
    <row r="53">
      <c r="A53" s="41" t="n">
        <v>0.03</v>
      </c>
      <c r="B53" s="19">
        <f>('02-模块收入模型'!$G$25+$G$42*($A53/$B$43))*(B$50/'01-核心假设'!$B$5)</f>
        <v/>
      </c>
      <c r="C53" s="19">
        <f>('02-模块收入模型'!$G$25+$G$42*($A53/$B$43))*(C$50/'01-核心假设'!$B$5)</f>
        <v/>
      </c>
      <c r="D53" s="42">
        <f>('02-模块收入模型'!$G$25+$G$42*($A53/$B$43))*(D$50/'01-核心假设'!$B$5)</f>
        <v/>
      </c>
      <c r="E53" s="19">
        <f>('02-模块收入模型'!$G$25+$G$42*($A53/$B$43))*(E$50/'01-核心假设'!$B$5)</f>
        <v/>
      </c>
    </row>
    <row r="54">
      <c r="A54" s="41" t="n">
        <v>0.05</v>
      </c>
      <c r="B54" s="19">
        <f>('02-模块收入模型'!$G$25+$G$42*($A54/$B$43))*(B$50/'01-核心假设'!$B$5)</f>
        <v/>
      </c>
      <c r="C54" s="19">
        <f>('02-模块收入模型'!$G$25+$G$42*($A54/$B$43))*(C$50/'01-核心假设'!$B$5)</f>
        <v/>
      </c>
      <c r="D54" s="19">
        <f>('02-模块收入模型'!$G$25+$G$42*($A54/$B$43))*(D$50/'01-核心假设'!$B$5)</f>
        <v/>
      </c>
      <c r="E54" s="19">
        <f>('02-模块收入模型'!$G$25+$G$42*($A54/$B$43))*(E$50/'01-核心假设'!$B$5)</f>
        <v/>
      </c>
    </row>
    <row r="55">
      <c r="A55" s="41" t="n">
        <v>0.08</v>
      </c>
      <c r="B55" s="19">
        <f>('02-模块收入模型'!$G$25+$G$42*($A55/$B$43))*(B$50/'01-核心假设'!$B$5)</f>
        <v/>
      </c>
      <c r="C55" s="19">
        <f>('02-模块收入模型'!$G$25+$G$42*($A55/$B$43))*(C$50/'01-核心假设'!$B$5)</f>
        <v/>
      </c>
      <c r="D55" s="19">
        <f>('02-模块收入模型'!$G$25+$G$42*($A55/$B$43))*(D$50/'01-核心假设'!$B$5)</f>
        <v/>
      </c>
      <c r="E55" s="19">
        <f>('02-模块收入模型'!$G$25+$G$42*($A55/$B$43))*(E$50/'01-核心假设'!$B$5)</f>
        <v/>
      </c>
    </row>
    <row r="56">
      <c r="A56" s="41" t="n">
        <v>0.1</v>
      </c>
      <c r="B56" s="19">
        <f>('02-模块收入模型'!$G$25+$G$42*($A56/$B$43))*(B$50/'01-核心假设'!$B$5)</f>
        <v/>
      </c>
      <c r="C56" s="19">
        <f>('02-模块收入模型'!$G$25+$G$42*($A56/$B$43))*(C$50/'01-核心假设'!$B$5)</f>
        <v/>
      </c>
      <c r="D56" s="19">
        <f>('02-模块收入模型'!$G$25+$G$42*($A56/$B$43))*(D$50/'01-核心假设'!$B$5)</f>
        <v/>
      </c>
      <c r="E56" s="19">
        <f>('02-模块收入模型'!$G$25+$G$42*($A56/$B$43))*(E$50/'01-核心假设'!$B$5)</f>
        <v/>
      </c>
    </row>
    <row r="58">
      <c r="A58" s="39" t="inlineStr">
        <is>
          <t>★ 每 +1pp 交叉转化率的月增收(元)</t>
        </is>
      </c>
      <c r="B58" s="36">
        <f>$G$46*(B$50/'01-核心假设'!$B$5)</f>
        <v/>
      </c>
      <c r="C58" s="36">
        <f>$G$46*(C$50/'01-核心假设'!$B$5)</f>
        <v/>
      </c>
      <c r="D58" s="36">
        <f>$G$46*(D$50/'01-核心假设'!$B$5)</f>
        <v/>
      </c>
      <c r="E58" s="36">
        <f>$G$46*(E$50/'01-核心假设'!$B$5)</f>
        <v/>
      </c>
    </row>
  </sheetData>
  <mergeCells count="11">
    <mergeCell ref="A18:H18"/>
    <mergeCell ref="A48:H48"/>
    <mergeCell ref="A3:H3"/>
    <mergeCell ref="A58"/>
    <mergeCell ref="A46:F46"/>
    <mergeCell ref="A20:H20"/>
    <mergeCell ref="A2:H2"/>
    <mergeCell ref="A42:E42"/>
    <mergeCell ref="A11:H11"/>
    <mergeCell ref="A49:H4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04 · 会员模型 — 会员 vs 单点付费</t>
        </is>
      </c>
    </row>
    <row r="3">
      <c r="A3" s="3" t="inlineStr">
        <is>
          <t>一、会员价格假设(引用 01 表)</t>
        </is>
      </c>
    </row>
    <row r="4">
      <c r="A4" s="4" t="inlineStr">
        <is>
          <t>月卡价格(元)</t>
        </is>
      </c>
      <c r="B4" s="38">
        <f>'01-核心假设'!$B$8</f>
        <v/>
      </c>
      <c r="C4" s="2" t="inlineStr">
        <is>
          <t>PRD: 19 元/月</t>
        </is>
      </c>
    </row>
    <row r="5">
      <c r="A5" s="4" t="inlineStr">
        <is>
          <t>年卡价格(元)</t>
        </is>
      </c>
      <c r="B5" s="38">
        <f>'01-核心假设'!$B$9</f>
        <v/>
      </c>
      <c r="C5" s="2" t="inlineStr">
        <is>
          <t>PRD: 128 元/年</t>
        </is>
      </c>
    </row>
    <row r="6">
      <c r="A6" s="4" t="inlineStr">
        <is>
          <t>月卡购买占比</t>
        </is>
      </c>
      <c r="B6" s="27">
        <f>'01-核心假设'!$B$11</f>
        <v/>
      </c>
      <c r="C6" s="2" t="inlineStr">
        <is>
          <t>可在 01 表修改</t>
        </is>
      </c>
    </row>
    <row r="7">
      <c r="A7" s="4" t="inlineStr">
        <is>
          <t>会员月均摊销 ARPU(元)</t>
        </is>
      </c>
      <c r="B7" s="28">
        <f>'01-核心假设'!$B$10</f>
        <v/>
      </c>
      <c r="C7" s="2">
        <f>19×70% + 128/12×30% ≈ 16.5</f>
        <v/>
      </c>
    </row>
    <row r="9">
      <c r="A9" s="3" t="inlineStr">
        <is>
          <t>二、会员月收入敏感度(元/月): 会员转化率 × DAU</t>
        </is>
      </c>
    </row>
    <row r="10">
      <c r="A10" s="8" t="inlineStr">
        <is>
          <t>会员转化率 ＼ DAU</t>
        </is>
      </c>
      <c r="B10" s="40">
        <f>'01-核心假设'!$B$15</f>
        <v/>
      </c>
      <c r="C10" s="40">
        <f>'01-核心假设'!$B$16</f>
        <v/>
      </c>
      <c r="D10" s="40">
        <f>'01-核心假设'!$B$17</f>
        <v/>
      </c>
      <c r="E10" s="40">
        <f>'01-核心假设'!$B$18</f>
        <v/>
      </c>
    </row>
    <row r="11">
      <c r="A11" s="41" t="n">
        <v>0.005</v>
      </c>
      <c r="B11" s="19">
        <f>B$10*$A11*'01-核心假设'!$B$10</f>
        <v/>
      </c>
      <c r="C11" s="19">
        <f>C$10*$A11*'01-核心假设'!$B$10</f>
        <v/>
      </c>
      <c r="D11" s="19">
        <f>D$10*$A11*'01-核心假设'!$B$10</f>
        <v/>
      </c>
      <c r="E11" s="19">
        <f>E$10*$A11*'01-核心假设'!$B$10</f>
        <v/>
      </c>
    </row>
    <row r="12">
      <c r="A12" s="41" t="n">
        <v>0.01</v>
      </c>
      <c r="B12" s="19">
        <f>B$10*$A12*'01-核心假设'!$B$10</f>
        <v/>
      </c>
      <c r="C12" s="19">
        <f>C$10*$A12*'01-核心假设'!$B$10</f>
        <v/>
      </c>
      <c r="D12" s="19">
        <f>D$10*$A12*'01-核心假设'!$B$10</f>
        <v/>
      </c>
      <c r="E12" s="19">
        <f>E$10*$A12*'01-核心假设'!$B$10</f>
        <v/>
      </c>
    </row>
    <row r="13">
      <c r="A13" s="43">
        <f>'01-核心假设'!$B$29</f>
        <v/>
      </c>
      <c r="B13" s="19">
        <f>B$10*$A13*'01-核心假设'!$B$10</f>
        <v/>
      </c>
      <c r="C13" s="19">
        <f>C$10*$A13*'01-核心假设'!$B$10</f>
        <v/>
      </c>
      <c r="D13" s="42">
        <f>D$10*$A13*'01-核心假设'!$B$10</f>
        <v/>
      </c>
      <c r="E13" s="19">
        <f>E$10*$A13*'01-核心假设'!$B$10</f>
        <v/>
      </c>
    </row>
    <row r="14">
      <c r="A14" s="41" t="n">
        <v>0.03</v>
      </c>
      <c r="B14" s="19">
        <f>B$10*$A14*'01-核心假设'!$B$10</f>
        <v/>
      </c>
      <c r="C14" s="19">
        <f>C$10*$A14*'01-核心假设'!$B$10</f>
        <v/>
      </c>
      <c r="D14" s="19">
        <f>D$10*$A14*'01-核心假设'!$B$10</f>
        <v/>
      </c>
      <c r="E14" s="19">
        <f>E$10*$A14*'01-核心假设'!$B$10</f>
        <v/>
      </c>
    </row>
    <row r="15">
      <c r="A15" s="2" t="inlineStr">
        <is>
          <t>第 3 行 1.5% 引用 01 表 PRD 目标转化率, 改 01 表即联动。</t>
        </is>
      </c>
    </row>
    <row r="17">
      <c r="A17" s="3" t="inlineStr">
        <is>
          <t>三、会员 vs 单点(基准 DAU)</t>
        </is>
      </c>
    </row>
    <row r="18">
      <c r="A18" s="4" t="inlineStr">
        <is>
          <t>单点月收入(元)</t>
        </is>
      </c>
      <c r="B18" s="19">
        <f>'02-模块收入模型'!$G$25</f>
        <v/>
      </c>
      <c r="C18" s="2" t="inlineStr">
        <is>
          <t>02 表合计</t>
        </is>
      </c>
    </row>
    <row r="19">
      <c r="A19" s="4" t="inlineStr">
        <is>
          <t>会员月收入(元, 1.5% 转化)</t>
        </is>
      </c>
      <c r="B19" s="19">
        <f>'01-核心假设'!$B$5*'01-核心假设'!$B$29*'01-核心假设'!$B$10</f>
        <v/>
      </c>
      <c r="C19" s="2">
        <f> DAU × 转化率 × 会员月ARPU</f>
        <v/>
      </c>
    </row>
    <row r="20">
      <c r="A20" s="4" t="inlineStr">
        <is>
          <t>交叉转化月增量(元)</t>
        </is>
      </c>
      <c r="B20" s="19">
        <f>'03-交叉转化敏感度'!$G$42</f>
        <v/>
      </c>
      <c r="C20" s="2" t="inlineStr">
        <is>
          <t>03 表合计</t>
        </is>
      </c>
    </row>
    <row r="21">
      <c r="A21" s="24" t="inlineStr">
        <is>
          <t>合计月收入(元)</t>
        </is>
      </c>
      <c r="B21" s="26">
        <f>SUM(B18:B20)</f>
        <v/>
      </c>
    </row>
    <row r="22">
      <c r="A22" s="4" t="inlineStr">
        <is>
          <t>会员收入占比</t>
        </is>
      </c>
      <c r="B22" s="29">
        <f>B19/B21</f>
        <v/>
      </c>
    </row>
    <row r="23">
      <c r="A23" s="4" t="inlineStr">
        <is>
          <t>付费会员数(人)</t>
        </is>
      </c>
      <c r="B23" s="19">
        <f>'01-核心假设'!$B$5*'01-核心假设'!$B$29</f>
        <v/>
      </c>
    </row>
    <row r="24">
      <c r="A24" s="4" t="inlineStr">
        <is>
          <t>其中: 月卡收入(元)</t>
        </is>
      </c>
      <c r="B24" s="19">
        <f>B23*'01-核心假设'!$B$11*'01-核心假设'!$B$8</f>
        <v/>
      </c>
    </row>
    <row r="25">
      <c r="A25" s="4" t="inlineStr">
        <is>
          <t>其中: 年卡收入(月摊销, 元)</t>
        </is>
      </c>
      <c r="B25" s="19">
        <f>B23*(1-'01-核心假设'!$B$11)*'01-核心假设'!$B$9/12</f>
        <v/>
      </c>
    </row>
    <row r="27">
      <c r="A27" s="3" t="inlineStr">
        <is>
          <t>四、蚕食提示(会员权益含 A 无限回信 / C 免费单张, 会替代部分单点)</t>
        </is>
      </c>
    </row>
    <row r="28">
      <c r="A28" s="4" t="inlineStr">
        <is>
          <t>蚕食率假设(会员原单点消费被替代比例)</t>
        </is>
      </c>
      <c r="B28" s="12" t="n">
        <v>0.15</v>
      </c>
    </row>
    <row r="29">
      <c r="A29" s="4" t="inlineStr">
        <is>
          <t>会员净增收(元) = 会员收入 − 会员数×单点月ARPU×蚕食率</t>
        </is>
      </c>
      <c r="B29" s="38">
        <f>B19-B23*'02-模块收入模型'!$G$27*B28</f>
        <v/>
      </c>
    </row>
    <row r="30">
      <c r="A30" s="2" t="inlineStr">
        <is>
          <t>即便如此, 会员的留存价值(不限量权益锁粘性)通常高于单点损失, 且年卡预收改善现金流。</t>
        </is>
      </c>
    </row>
  </sheetData>
  <mergeCells count="7">
    <mergeCell ref="A1:F1"/>
    <mergeCell ref="A9:F9"/>
    <mergeCell ref="A27:F27"/>
    <mergeCell ref="A17:F17"/>
    <mergeCell ref="A3:F3"/>
    <mergeCell ref="A30:F3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9" customWidth="1" min="4" max="4"/>
    <col width="9" customWidth="1" min="5" max="5"/>
    <col width="13" customWidth="1" min="6" max="6"/>
    <col width="11" customWidth="1" min="7" max="7"/>
    <col width="13" customWidth="1" min="8" max="8"/>
    <col width="10" customWidth="1" min="9" max="9"/>
    <col width="13" customWidth="1" min="10" max="10"/>
    <col width="13" customWidth="1" min="11" max="11"/>
    <col width="14" customWidth="1" min="12" max="12"/>
  </cols>
  <sheetData>
    <row r="1" ht="26" customHeight="1">
      <c r="A1" s="1" t="inlineStr">
        <is>
          <t>05 · 12 个月收入预测(按 PRD 里程碑节奏)</t>
        </is>
      </c>
    </row>
    <row r="2">
      <c r="A2" s="2" t="inlineStr">
        <is>
          <t>模块节奏: M1 仅 B → M2 加 A、C → M3 加 D → M4 加 E → M6 起会员体系(v2.0)。收入系数 = 当月已上线模块月流水 ÷ 全模块月流水(引用 02 表)。</t>
        </is>
      </c>
    </row>
    <row r="3" ht="26" customHeight="1">
      <c r="A3" s="8" t="inlineStr">
        <is>
          <t>月份</t>
        </is>
      </c>
      <c r="B3" s="8" t="inlineStr">
        <is>
          <t>里程碑</t>
        </is>
      </c>
      <c r="C3" s="8" t="inlineStr">
        <is>
          <t>当月已上线模块</t>
        </is>
      </c>
      <c r="D3" s="8" t="inlineStr">
        <is>
          <t>收入系数</t>
        </is>
      </c>
      <c r="E3" s="8" t="inlineStr">
        <is>
          <t>DAU</t>
        </is>
      </c>
      <c r="F3" s="8" t="inlineStr">
        <is>
          <t>单点月收入(元)</t>
        </is>
      </c>
      <c r="G3" s="8" t="inlineStr">
        <is>
          <t>会员转化率</t>
        </is>
      </c>
      <c r="H3" s="8" t="inlineStr">
        <is>
          <t>会员月收入(元)</t>
        </is>
      </c>
      <c r="I3" s="8" t="inlineStr">
        <is>
          <t>交叉系数</t>
        </is>
      </c>
      <c r="J3" s="8" t="inlineStr">
        <is>
          <t>交叉增量(元)</t>
        </is>
      </c>
      <c r="K3" s="8" t="inlineStr">
        <is>
          <t>总月收入(元)</t>
        </is>
      </c>
      <c r="L3" s="8" t="inlineStr">
        <is>
          <t>累计收入(元)</t>
        </is>
      </c>
    </row>
    <row r="4">
      <c r="A4" s="11" t="inlineStr">
        <is>
          <t>M1</t>
        </is>
      </c>
      <c r="B4" s="4" t="inlineStr">
        <is>
          <t>MVP(W1-2): 摆烂+首页</t>
        </is>
      </c>
      <c r="C4" s="9" t="inlineStr">
        <is>
          <t>B</t>
        </is>
      </c>
      <c r="D4" s="29">
        <f>'02-模块收入模型'!$G$10/'02-模块收入模型'!$G$25</f>
        <v/>
      </c>
      <c r="E4" s="10" t="n">
        <v>1000</v>
      </c>
      <c r="F4" s="19">
        <f>D4*E4/'01-核心假设'!$B$5*'02-模块收入模型'!$G$25</f>
        <v/>
      </c>
      <c r="G4" s="12" t="n">
        <v>0</v>
      </c>
      <c r="H4" s="19">
        <f>E4*G4*'01-核心假设'!$B$10</f>
        <v/>
      </c>
      <c r="I4" s="12" t="n">
        <v>0</v>
      </c>
      <c r="J4" s="19">
        <f>F4*I4*'03-交叉转化敏感度'!$B$44</f>
        <v/>
      </c>
      <c r="K4" s="38">
        <f>F4+H4+J4</f>
        <v/>
      </c>
      <c r="L4" s="19">
        <f>K4</f>
        <v/>
      </c>
    </row>
    <row r="5">
      <c r="A5" s="11" t="inlineStr">
        <is>
          <t>M2</t>
        </is>
      </c>
      <c r="B5" s="4" t="inlineStr">
        <is>
          <t>v1.1 信箱(W3-6) + v1.2 塔罗(M2)</t>
        </is>
      </c>
      <c r="C5" s="9" t="inlineStr">
        <is>
          <t>A+B+C</t>
        </is>
      </c>
      <c r="D5" s="29">
        <f>('02-模块收入模型'!$G$6+'02-模块收入模型'!$G$10+'02-模块收入模型'!$G$17)/'02-模块收入模型'!$G$25</f>
        <v/>
      </c>
      <c r="E5" s="10" t="n">
        <v>2500</v>
      </c>
      <c r="F5" s="19">
        <f>D5*E5/'01-核心假设'!$B$5*'02-模块收入模型'!$G$25</f>
        <v/>
      </c>
      <c r="G5" s="12" t="n">
        <v>0</v>
      </c>
      <c r="H5" s="19">
        <f>E5*G5*'01-核心假设'!$B$10</f>
        <v/>
      </c>
      <c r="I5" s="12" t="n">
        <v>0.5</v>
      </c>
      <c r="J5" s="19">
        <f>F5*I5*'03-交叉转化敏感度'!$B$44</f>
        <v/>
      </c>
      <c r="K5" s="38">
        <f>F5+H5+J5</f>
        <v/>
      </c>
      <c r="L5" s="19">
        <f>L4+K5</f>
        <v/>
      </c>
    </row>
    <row r="6">
      <c r="A6" s="11" t="inlineStr">
        <is>
          <t>M3</t>
        </is>
      </c>
      <c r="B6" s="4" t="inlineStr">
        <is>
          <t>v1.3 许愿池</t>
        </is>
      </c>
      <c r="C6" s="9" t="inlineStr">
        <is>
          <t>A+B+C+D</t>
        </is>
      </c>
      <c r="D6" s="29">
        <f>('02-模块收入模型'!$G$6+'02-模块收入模型'!$G$10+'02-模块收入模型'!$G$17+'02-模块收入模型'!$G$20)/'02-模块收入模型'!$G$25</f>
        <v/>
      </c>
      <c r="E6" s="10" t="n">
        <v>5000</v>
      </c>
      <c r="F6" s="19">
        <f>D6*E6/'01-核心假设'!$B$5*'02-模块收入模型'!$G$25</f>
        <v/>
      </c>
      <c r="G6" s="12" t="n">
        <v>0</v>
      </c>
      <c r="H6" s="19">
        <f>E6*G6*'01-核心假设'!$B$10</f>
        <v/>
      </c>
      <c r="I6" s="12" t="n">
        <v>1</v>
      </c>
      <c r="J6" s="19">
        <f>F6*I6*'03-交叉转化敏感度'!$B$44</f>
        <v/>
      </c>
      <c r="K6" s="38">
        <f>F6+H6+J6</f>
        <v/>
      </c>
      <c r="L6" s="19">
        <f>L5+K6</f>
        <v/>
      </c>
    </row>
    <row r="7">
      <c r="A7" s="11" t="inlineStr">
        <is>
          <t>M4</t>
        </is>
      </c>
      <c r="B7" s="4" t="inlineStr">
        <is>
          <t>v1.4 漂流墙+UGC审核</t>
        </is>
      </c>
      <c r="C7" s="9" t="inlineStr">
        <is>
          <t>全部</t>
        </is>
      </c>
      <c r="D7" s="29">
        <f>1</f>
        <v/>
      </c>
      <c r="E7" s="10" t="n">
        <v>6000</v>
      </c>
      <c r="F7" s="19">
        <f>D7*E7/'01-核心假设'!$B$5*'02-模块收入模型'!$G$25</f>
        <v/>
      </c>
      <c r="G7" s="12" t="n">
        <v>0</v>
      </c>
      <c r="H7" s="19">
        <f>E7*G7*'01-核心假设'!$B$10</f>
        <v/>
      </c>
      <c r="I7" s="12" t="n">
        <v>1</v>
      </c>
      <c r="J7" s="19">
        <f>F7*I7*'03-交叉转化敏感度'!$B$44</f>
        <v/>
      </c>
      <c r="K7" s="38">
        <f>F7+H7+J7</f>
        <v/>
      </c>
      <c r="L7" s="19">
        <f>L6+K7</f>
        <v/>
      </c>
    </row>
    <row r="8">
      <c r="A8" s="11" t="inlineStr">
        <is>
          <t>M5</t>
        </is>
      </c>
      <c r="B8" s="4" t="inlineStr">
        <is>
          <t>全模块精细化运营</t>
        </is>
      </c>
      <c r="C8" s="9" t="inlineStr">
        <is>
          <t>全部</t>
        </is>
      </c>
      <c r="D8" s="29">
        <f>1</f>
        <v/>
      </c>
      <c r="E8" s="10" t="n">
        <v>7000</v>
      </c>
      <c r="F8" s="19">
        <f>D8*E8/'01-核心假设'!$B$5*'02-模块收入模型'!$G$25</f>
        <v/>
      </c>
      <c r="G8" s="12" t="n">
        <v>0</v>
      </c>
      <c r="H8" s="19">
        <f>E8*G8*'01-核心假设'!$B$10</f>
        <v/>
      </c>
      <c r="I8" s="12" t="n">
        <v>1</v>
      </c>
      <c r="J8" s="19">
        <f>F8*I8*'03-交叉转化敏感度'!$B$44</f>
        <v/>
      </c>
      <c r="K8" s="38">
        <f>F8+H8+J8</f>
        <v/>
      </c>
      <c r="L8" s="19">
        <f>L7+K8</f>
        <v/>
      </c>
    </row>
    <row r="9">
      <c r="A9" s="11" t="inlineStr">
        <is>
          <t>M6</t>
        </is>
      </c>
      <c r="B9" s="4" t="inlineStr">
        <is>
          <t>v2.0 会员体系+周边电商</t>
        </is>
      </c>
      <c r="C9" s="9" t="inlineStr">
        <is>
          <t>全部+会员</t>
        </is>
      </c>
      <c r="D9" s="29">
        <f>1</f>
        <v/>
      </c>
      <c r="E9" s="10" t="n">
        <v>8000</v>
      </c>
      <c r="F9" s="19">
        <f>D9*E9/'01-核心假设'!$B$5*'02-模块收入模型'!$G$25</f>
        <v/>
      </c>
      <c r="G9" s="12" t="n">
        <v>0.005</v>
      </c>
      <c r="H9" s="19">
        <f>E9*G9*'01-核心假设'!$B$10</f>
        <v/>
      </c>
      <c r="I9" s="12" t="n">
        <v>1</v>
      </c>
      <c r="J9" s="19">
        <f>F9*I9*'03-交叉转化敏感度'!$B$44</f>
        <v/>
      </c>
      <c r="K9" s="38">
        <f>F9+H9+J9</f>
        <v/>
      </c>
      <c r="L9" s="19">
        <f>L8+K9</f>
        <v/>
      </c>
    </row>
    <row r="10">
      <c r="A10" s="11" t="inlineStr">
        <is>
          <t>M7</t>
        </is>
      </c>
      <c r="B10" s="4" t="inlineStr">
        <is>
          <t>规模增长</t>
        </is>
      </c>
      <c r="C10" s="9" t="inlineStr">
        <is>
          <t>全部+会员</t>
        </is>
      </c>
      <c r="D10" s="29">
        <f>1</f>
        <v/>
      </c>
      <c r="E10" s="10" t="n">
        <v>9000</v>
      </c>
      <c r="F10" s="19">
        <f>D10*E10/'01-核心假设'!$B$5*'02-模块收入模型'!$G$25</f>
        <v/>
      </c>
      <c r="G10" s="12" t="n">
        <v>0.01</v>
      </c>
      <c r="H10" s="19">
        <f>E10*G10*'01-核心假设'!$B$10</f>
        <v/>
      </c>
      <c r="I10" s="12" t="n">
        <v>1</v>
      </c>
      <c r="J10" s="19">
        <f>F10*I10*'03-交叉转化敏感度'!$B$44</f>
        <v/>
      </c>
      <c r="K10" s="38">
        <f>F10+H10+J10</f>
        <v/>
      </c>
      <c r="L10" s="19">
        <f>L9+K10</f>
        <v/>
      </c>
    </row>
    <row r="11">
      <c r="A11" s="11" t="inlineStr">
        <is>
          <t>M8</t>
        </is>
      </c>
      <c r="B11" s="4" t="inlineStr">
        <is>
          <t>规模增长</t>
        </is>
      </c>
      <c r="C11" s="9" t="inlineStr">
        <is>
          <t>全部+会员</t>
        </is>
      </c>
      <c r="D11" s="29">
        <f>1</f>
        <v/>
      </c>
      <c r="E11" s="10" t="n">
        <v>10000</v>
      </c>
      <c r="F11" s="19">
        <f>D11*E11/'01-核心假设'!$B$5*'02-模块收入模型'!$G$25</f>
        <v/>
      </c>
      <c r="G11" s="12" t="n">
        <v>0.015</v>
      </c>
      <c r="H11" s="19">
        <f>E11*G11*'01-核心假设'!$B$10</f>
        <v/>
      </c>
      <c r="I11" s="12" t="n">
        <v>1</v>
      </c>
      <c r="J11" s="19">
        <f>F11*I11*'03-交叉转化敏感度'!$B$44</f>
        <v/>
      </c>
      <c r="K11" s="38">
        <f>F11+H11+J11</f>
        <v/>
      </c>
      <c r="L11" s="19">
        <f>L10+K11</f>
        <v/>
      </c>
    </row>
    <row r="12">
      <c r="A12" s="11" t="inlineStr">
        <is>
          <t>M9</t>
        </is>
      </c>
      <c r="B12" s="4" t="inlineStr">
        <is>
          <t>规模增长</t>
        </is>
      </c>
      <c r="C12" s="9" t="inlineStr">
        <is>
          <t>全部+会员</t>
        </is>
      </c>
      <c r="D12" s="29">
        <f>1</f>
        <v/>
      </c>
      <c r="E12" s="10" t="n">
        <v>10500</v>
      </c>
      <c r="F12" s="19">
        <f>D12*E12/'01-核心假设'!$B$5*'02-模块收入模型'!$G$25</f>
        <v/>
      </c>
      <c r="G12" s="12" t="n">
        <v>0.015</v>
      </c>
      <c r="H12" s="19">
        <f>E12*G12*'01-核心假设'!$B$10</f>
        <v/>
      </c>
      <c r="I12" s="12" t="n">
        <v>1</v>
      </c>
      <c r="J12" s="19">
        <f>F12*I12*'03-交叉转化敏感度'!$B$44</f>
        <v/>
      </c>
      <c r="K12" s="38">
        <f>F12+H12+J12</f>
        <v/>
      </c>
      <c r="L12" s="19">
        <f>L11+K12</f>
        <v/>
      </c>
    </row>
    <row r="13">
      <c r="A13" s="11" t="inlineStr">
        <is>
          <t>M10</t>
        </is>
      </c>
      <c r="B13" s="4" t="inlineStr">
        <is>
          <t>规模增长</t>
        </is>
      </c>
      <c r="C13" s="9" t="inlineStr">
        <is>
          <t>全部+会员</t>
        </is>
      </c>
      <c r="D13" s="29">
        <f>1</f>
        <v/>
      </c>
      <c r="E13" s="10" t="n">
        <v>11000</v>
      </c>
      <c r="F13" s="19">
        <f>D13*E13/'01-核心假设'!$B$5*'02-模块收入模型'!$G$25</f>
        <v/>
      </c>
      <c r="G13" s="12" t="n">
        <v>0.015</v>
      </c>
      <c r="H13" s="19">
        <f>E13*G13*'01-核心假设'!$B$10</f>
        <v/>
      </c>
      <c r="I13" s="12" t="n">
        <v>1</v>
      </c>
      <c r="J13" s="19">
        <f>F13*I13*'03-交叉转化敏感度'!$B$44</f>
        <v/>
      </c>
      <c r="K13" s="38">
        <f>F13+H13+J13</f>
        <v/>
      </c>
      <c r="L13" s="19">
        <f>L12+K13</f>
        <v/>
      </c>
    </row>
    <row r="14">
      <c r="A14" s="11" t="inlineStr">
        <is>
          <t>M11</t>
        </is>
      </c>
      <c r="B14" s="4" t="inlineStr">
        <is>
          <t>规模增长</t>
        </is>
      </c>
      <c r="C14" s="9" t="inlineStr">
        <is>
          <t>全部+会员</t>
        </is>
      </c>
      <c r="D14" s="29">
        <f>1</f>
        <v/>
      </c>
      <c r="E14" s="10" t="n">
        <v>11500</v>
      </c>
      <c r="F14" s="19">
        <f>D14*E14/'01-核心假设'!$B$5*'02-模块收入模型'!$G$25</f>
        <v/>
      </c>
      <c r="G14" s="12" t="n">
        <v>0.015</v>
      </c>
      <c r="H14" s="19">
        <f>E14*G14*'01-核心假设'!$B$10</f>
        <v/>
      </c>
      <c r="I14" s="12" t="n">
        <v>1</v>
      </c>
      <c r="J14" s="19">
        <f>F14*I14*'03-交叉转化敏感度'!$B$44</f>
        <v/>
      </c>
      <c r="K14" s="38">
        <f>F14+H14+J14</f>
        <v/>
      </c>
      <c r="L14" s="19">
        <f>L13+K14</f>
        <v/>
      </c>
    </row>
    <row r="15">
      <c r="A15" s="11" t="inlineStr">
        <is>
          <t>M12</t>
        </is>
      </c>
      <c r="B15" s="4" t="inlineStr">
        <is>
          <t>规模增长</t>
        </is>
      </c>
      <c r="C15" s="9" t="inlineStr">
        <is>
          <t>全部+会员</t>
        </is>
      </c>
      <c r="D15" s="29">
        <f>1</f>
        <v/>
      </c>
      <c r="E15" s="10" t="n">
        <v>12000</v>
      </c>
      <c r="F15" s="19">
        <f>D15*E15/'01-核心假设'!$B$5*'02-模块收入模型'!$G$25</f>
        <v/>
      </c>
      <c r="G15" s="12" t="n">
        <v>0.015</v>
      </c>
      <c r="H15" s="19">
        <f>E15*G15*'01-核心假设'!$B$10</f>
        <v/>
      </c>
      <c r="I15" s="12" t="n">
        <v>1</v>
      </c>
      <c r="J15" s="19">
        <f>F15*I15*'03-交叉转化敏感度'!$B$44</f>
        <v/>
      </c>
      <c r="K15" s="38">
        <f>F15+H15+J15</f>
        <v/>
      </c>
      <c r="L15" s="19">
        <f>L14+K15</f>
        <v/>
      </c>
    </row>
    <row r="16">
      <c r="A16" s="24" t="inlineStr">
        <is>
          <t>全年合计(元)</t>
        </is>
      </c>
      <c r="K16" s="26">
        <f>SUM(K4:K15)</f>
        <v/>
      </c>
      <c r="L16" s="25" t="inlineStr"/>
    </row>
    <row r="18">
      <c r="A18" s="2" t="inlineStr">
        <is>
          <t>DAU 假设: M3 达成 PRD 目标 5000; 会员转化率 M6 起步 0.5% → M8 起 1.5%(PRD 目标), 均为可调假设。</t>
        </is>
      </c>
    </row>
  </sheetData>
  <mergeCells count="4">
    <mergeCell ref="A2:L2"/>
    <mergeCell ref="A1:L1"/>
    <mergeCell ref="A18:L18"/>
    <mergeCell ref="A16:J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6" customWidth="1" min="3" max="3"/>
    <col width="14" customWidth="1" min="4" max="4"/>
    <col width="14" customWidth="1" min="5" max="5"/>
    <col width="13" customWidth="1" min="6" max="6"/>
    <col width="14" customWidth="1" min="7" max="7"/>
    <col width="12" customWidth="1" min="8" max="8"/>
  </cols>
  <sheetData>
    <row r="1" ht="26" customHeight="1">
      <c r="A1" s="1" t="inlineStr">
        <is>
          <t>06 · 汇总看板 — 关键结论数字</t>
        </is>
      </c>
    </row>
    <row r="3">
      <c r="A3" s="3" t="inlineStr">
        <is>
          <t>一、三档情景月收入(单点+会员+交叉)</t>
        </is>
      </c>
    </row>
    <row r="4">
      <c r="A4" s="8" t="inlineStr">
        <is>
          <t>情景</t>
        </is>
      </c>
      <c r="B4" s="8" t="inlineStr">
        <is>
          <t>DAU</t>
        </is>
      </c>
      <c r="C4" s="8" t="inlineStr">
        <is>
          <t>付费率假设</t>
        </is>
      </c>
      <c r="D4" s="8" t="inlineStr">
        <is>
          <t>单点月收入(元)</t>
        </is>
      </c>
      <c r="E4" s="8" t="inlineStr">
        <is>
          <t>会员月收入(元)</t>
        </is>
      </c>
      <c r="F4" s="8" t="inlineStr">
        <is>
          <t>交叉增量(元)</t>
        </is>
      </c>
      <c r="G4" s="8" t="inlineStr">
        <is>
          <t>总月收入(元)</t>
        </is>
      </c>
      <c r="H4" s="8" t="inlineStr">
        <is>
          <t>月ARPU(元)</t>
        </is>
      </c>
    </row>
    <row r="5">
      <c r="A5" s="11" t="inlineStr">
        <is>
          <t>保守</t>
        </is>
      </c>
      <c r="B5" s="19">
        <f>'01-核心假设'!$B$16</f>
        <v/>
      </c>
      <c r="C5" s="12" t="n">
        <v>0.02</v>
      </c>
      <c r="D5" s="19">
        <f>'02-模块收入模型'!$G$25*(B5/'01-核心假设'!$B$5)*(C5/'01-核心假设'!$B$6)</f>
        <v/>
      </c>
      <c r="E5" s="19">
        <f>B5*'01-核心假设'!$B$29*'01-核心假设'!$B$10</f>
        <v/>
      </c>
      <c r="F5" s="19">
        <f>D5*'03-交叉转化敏感度'!$B$44</f>
        <v/>
      </c>
      <c r="G5" s="38">
        <f>D5+E5+F5</f>
        <v/>
      </c>
      <c r="H5" s="7">
        <f>G5/B5</f>
        <v/>
      </c>
    </row>
    <row r="6">
      <c r="A6" s="11" t="inlineStr">
        <is>
          <t>中性</t>
        </is>
      </c>
      <c r="B6" s="19">
        <f>'01-核心假设'!$B$17</f>
        <v/>
      </c>
      <c r="C6" s="29">
        <f>'01-核心假设'!$B$6</f>
        <v/>
      </c>
      <c r="D6" s="19">
        <f>'02-模块收入模型'!$G$25*(B6/'01-核心假设'!$B$5)*(C6/'01-核心假设'!$B$6)</f>
        <v/>
      </c>
      <c r="E6" s="19">
        <f>B6*'01-核心假设'!$B$29*'01-核心假设'!$B$10</f>
        <v/>
      </c>
      <c r="F6" s="19">
        <f>D6*'03-交叉转化敏感度'!$B$44</f>
        <v/>
      </c>
      <c r="G6" s="36">
        <f>D6+E6+F6</f>
        <v/>
      </c>
      <c r="H6" s="7">
        <f>G6/B6</f>
        <v/>
      </c>
    </row>
    <row r="7">
      <c r="A7" s="11" t="inlineStr">
        <is>
          <t>乐观</t>
        </is>
      </c>
      <c r="B7" s="19">
        <f>'01-核心假设'!$B$18</f>
        <v/>
      </c>
      <c r="C7" s="12" t="n">
        <v>0.045</v>
      </c>
      <c r="D7" s="19">
        <f>'02-模块收入模型'!$G$25*(B7/'01-核心假设'!$B$5)*(C7/'01-核心假设'!$B$6)</f>
        <v/>
      </c>
      <c r="E7" s="19">
        <f>B7*'01-核心假设'!$B$29*'01-核心假设'!$B$10</f>
        <v/>
      </c>
      <c r="F7" s="19">
        <f>D7*'03-交叉转化敏感度'!$B$44</f>
        <v/>
      </c>
      <c r="G7" s="38">
        <f>D7+E7+F7</f>
        <v/>
      </c>
      <c r="H7" s="7">
        <f>G7/B7</f>
        <v/>
      </c>
    </row>
    <row r="9">
      <c r="A9" s="3" t="inlineStr">
        <is>
          <t>二、月度成本估算(按中性情景 DAU)</t>
        </is>
      </c>
    </row>
    <row r="10">
      <c r="A10" s="4" t="inlineStr">
        <is>
          <t>LLM API 成本(元)</t>
        </is>
      </c>
      <c r="B10" s="19">
        <f>B6*'01-核心假设'!$B$31*'01-核心假设'!$B$32*'01-核心假设'!$B$30*'01-核心假设'!$B$4</f>
        <v/>
      </c>
      <c r="C10" s="2" t="inlineStr">
        <is>
          <t>DAU×AI互动率×次数×单价×天数</t>
        </is>
      </c>
    </row>
    <row r="11">
      <c r="A11" s="4" t="inlineStr">
        <is>
          <t>内容审核成本(元)</t>
        </is>
      </c>
      <c r="B11" s="19">
        <f>B6*'01-核心假设'!$B$34*'01-核心假设'!$B$33*'01-核心假设'!$B$4</f>
        <v/>
      </c>
      <c r="C11" s="2" t="inlineStr">
        <is>
          <t>DAU×人均UGC条数×审核单价×天数</t>
        </is>
      </c>
    </row>
    <row r="12">
      <c r="A12" s="4" t="inlineStr">
        <is>
          <t>服务器成本(元)</t>
        </is>
      </c>
      <c r="B12" s="19">
        <f>IF(B6&lt;='01-核心假设'!$A$39,'01-核心假设'!$B$39,IF(B6&lt;='01-核心假设'!$A$40,'01-核心假设'!$B$40,IF(B6&lt;='01-核心假设'!$A$41,'01-核心假设'!$B$41,IF(B6&lt;='01-核心假设'!$A$42,'01-核心假设'!$B$42,'01-核心假设'!$B$43))))</f>
        <v/>
      </c>
      <c r="C12" s="2" t="inlineStr">
        <is>
          <t>按 01 表分档</t>
        </is>
      </c>
    </row>
    <row r="13">
      <c r="A13" s="4" t="inlineStr">
        <is>
          <t>微信支付通道费(元)</t>
        </is>
      </c>
      <c r="B13" s="19">
        <f>G6*'01-核心假设'!$B$35</f>
        <v/>
      </c>
      <c r="C13" s="2" t="inlineStr">
        <is>
          <t>中性总收入 × 0.6%</t>
        </is>
      </c>
    </row>
    <row r="14">
      <c r="A14" s="24" t="inlineStr">
        <is>
          <t>成本合计(元)</t>
        </is>
      </c>
      <c r="B14" s="26">
        <f>SUM(B10:B13)</f>
        <v/>
      </c>
    </row>
    <row r="15">
      <c r="A15" s="4" t="inlineStr">
        <is>
          <t>月毛利(中性, 元)</t>
        </is>
      </c>
      <c r="B15" s="36">
        <f>G6-B14</f>
        <v/>
      </c>
    </row>
    <row r="16">
      <c r="A16" s="4" t="inlineStr">
        <is>
          <t>毛利率</t>
        </is>
      </c>
      <c r="B16" s="44">
        <f>B15/G6</f>
        <v/>
      </c>
    </row>
    <row r="18">
      <c r="A18" s="3" t="inlineStr">
        <is>
          <t>三、盈亏平衡估算</t>
        </is>
      </c>
    </row>
    <row r="19">
      <c r="A19" s="4" t="inlineStr">
        <is>
          <t>变动成本率(LLM+审核+支付费 / 总收入)</t>
        </is>
      </c>
      <c r="B19" s="29">
        <f>(B10+B11+B13)/G6</f>
        <v/>
      </c>
    </row>
    <row r="20">
      <c r="A20" s="4" t="inlineStr">
        <is>
          <t>盈亏平衡月收入(元) = 服务器成本 ÷ (1−变动成本率)</t>
        </is>
      </c>
      <c r="B20" s="19">
        <f>B12/(1-B19)</f>
        <v/>
      </c>
    </row>
    <row r="21">
      <c r="A21" s="4" t="inlineStr">
        <is>
          <t>中性月 ARPU(元)</t>
        </is>
      </c>
      <c r="B21" s="28">
        <f>H6</f>
        <v/>
      </c>
    </row>
    <row r="22">
      <c r="A22" s="4" t="inlineStr">
        <is>
          <t>盈亏平衡 DAU(人) ≈ 平衡收入 ÷ 月ARPU</t>
        </is>
      </c>
      <c r="B22" s="38">
        <f>B20/B21</f>
        <v/>
      </c>
    </row>
    <row r="23">
      <c r="A23" s="2" t="inlineStr">
        <is>
          <t>注: 此模型毛利极高源于「全 AI 无真人」架构, 主要变动成本仅 LLM 调用; 未计入人力与投放成本。</t>
        </is>
      </c>
    </row>
    <row r="25">
      <c r="A25" s="3" t="inlineStr">
        <is>
          <t>四、关键结论</t>
        </is>
      </c>
    </row>
    <row r="26">
      <c r="A26" s="45" t="inlineStr">
        <is>
          <t>① 中性情景(DAU 5000、付费率 3%、会员转化 1.5%)月总收入约 4.3 万元, 月 ARPU ≈ 8.5 元, 达成 PRD ≥8 元目标。</t>
        </is>
      </c>
    </row>
    <row r="27">
      <c r="A27" s="4" t="inlineStr">
        <is>
          <t>② 交叉转化为第二增长曲线: 默认矩阵下月增收约占单点收入 13%, 且每 +1pp 交叉率 ≈ 基准 DAU 下月增收 ~1900 元(随 DAU 线性放大)。</t>
        </is>
      </c>
    </row>
    <row r="28">
      <c r="A28" s="45" t="inlineStr">
        <is>
          <t>③ 最大杠杆是「指向 C 塔罗」的交叉路径(A→C、D→C、B→C): 塔罗 ARPPU(≈23 元)为全模块最高, 引流 1 人顶漂流墙 15 人。</t>
        </is>
      </c>
    </row>
    <row r="29">
      <c r="A29" s="4" t="inlineStr">
        <is>
          <t>④ 会员收入占比仅 ~3%(1.5% 转化下), 短期是留存工具而非收入主力; 年卡占比提升可改善现金流与摊销 ARPU。</t>
        </is>
      </c>
    </row>
    <row r="30">
      <c r="A30" s="4" t="inlineStr">
        <is>
          <t>⑤ 盈亏平衡 DAU 仅约百人级(LLM 成本极低), 商业风险不在成本侧, 而在 DAU 增长与付费率兑现。</t>
        </is>
      </c>
    </row>
  </sheetData>
  <mergeCells count="11">
    <mergeCell ref="A9:H9"/>
    <mergeCell ref="A18:H18"/>
    <mergeCell ref="A3:H3"/>
    <mergeCell ref="A26:H26"/>
    <mergeCell ref="A30:H30"/>
    <mergeCell ref="A29:H29"/>
    <mergeCell ref="A25:H25"/>
    <mergeCell ref="A28:H28"/>
    <mergeCell ref="A1:H1"/>
    <mergeCell ref="A23:H23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2026-07-26T16:30:35Z</dcterms:created>
  <dcterms:modified xmlns:dcterms="http://purl.org/dc/terms/" xmlns:xsi="http://www.w3.org/2001/XMLSchema-instance" xsi:type="dcterms:W3CDTF">2026-07-26T16:30:35Z</dcterms:modified>
</cp:coreProperties>
</file>